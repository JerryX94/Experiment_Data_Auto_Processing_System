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808"/>
  </bookViews>
  <sheets>
    <sheet name="整车碰撞实验数据自动化处理系统(for 50FLP)" sheetId="1" r:id="rId1"/>
  </sheets>
  <calcPr calcId="152511"/>
</workbook>
</file>

<file path=xl/calcChain.xml><?xml version="1.0" encoding="utf-8"?>
<calcChain xmlns="http://schemas.openxmlformats.org/spreadsheetml/2006/main">
  <c r="Q137" i="1" l="1"/>
  <c r="L137" i="1"/>
  <c r="S146" i="1" l="1"/>
  <c r="P150" i="1" l="1"/>
  <c r="S149" i="1"/>
  <c r="L149" i="1"/>
  <c r="Q148" i="1"/>
  <c r="L148" i="1"/>
  <c r="S147" i="1"/>
  <c r="S150" i="1" s="1"/>
  <c r="N146" i="1"/>
  <c r="N147" i="1" s="1"/>
  <c r="N150" i="1" s="1"/>
  <c r="Q144" i="1"/>
  <c r="Q145" i="1" s="1"/>
  <c r="L144" i="1"/>
  <c r="L145" i="1" s="1"/>
  <c r="Q141" i="1"/>
  <c r="L141" i="1"/>
  <c r="Q140" i="1"/>
  <c r="L140" i="1"/>
  <c r="Q139" i="1"/>
  <c r="Q143" i="1" s="1"/>
  <c r="L139" i="1"/>
  <c r="L143" i="1" s="1"/>
  <c r="Q138" i="1"/>
  <c r="Q150" i="1" s="1"/>
  <c r="L138" i="1"/>
  <c r="Q135" i="1"/>
  <c r="L135" i="1"/>
  <c r="Q134" i="1"/>
  <c r="L134" i="1"/>
  <c r="Q133" i="1"/>
  <c r="L133" i="1"/>
  <c r="Q132" i="1"/>
  <c r="L132" i="1"/>
  <c r="Q131" i="1"/>
  <c r="L131" i="1"/>
  <c r="K128" i="1"/>
  <c r="J128" i="1"/>
  <c r="S128" i="1" s="1"/>
  <c r="S127" i="1"/>
  <c r="Q127" i="1"/>
  <c r="N127" i="1"/>
  <c r="L127" i="1"/>
  <c r="S126" i="1"/>
  <c r="Q126" i="1"/>
  <c r="N126" i="1"/>
  <c r="L126" i="1"/>
  <c r="K125" i="1"/>
  <c r="K129" i="1" s="1"/>
  <c r="J125" i="1"/>
  <c r="S125" i="1" s="1"/>
  <c r="S124" i="1"/>
  <c r="Q124" i="1"/>
  <c r="N124" i="1"/>
  <c r="L124" i="1"/>
  <c r="J123" i="1"/>
  <c r="S123" i="1" s="1"/>
  <c r="S122" i="1"/>
  <c r="Q122" i="1"/>
  <c r="N122" i="1"/>
  <c r="L122" i="1"/>
  <c r="K120" i="1"/>
  <c r="J120" i="1"/>
  <c r="Q120" i="1" s="1"/>
  <c r="K119" i="1"/>
  <c r="J119" i="1"/>
  <c r="Q119" i="1" s="1"/>
  <c r="S118" i="1"/>
  <c r="Q118" i="1"/>
  <c r="N118" i="1"/>
  <c r="L118" i="1"/>
  <c r="S117" i="1"/>
  <c r="Q117" i="1"/>
  <c r="N117" i="1"/>
  <c r="L117" i="1"/>
  <c r="Q115" i="1"/>
  <c r="L115" i="1"/>
  <c r="S114" i="1"/>
  <c r="Q114" i="1"/>
  <c r="N114" i="1"/>
  <c r="L114" i="1"/>
  <c r="S113" i="1"/>
  <c r="S116" i="1" s="1"/>
  <c r="Q113" i="1"/>
  <c r="N113" i="1"/>
  <c r="N116" i="1" s="1"/>
  <c r="L113" i="1"/>
  <c r="L116" i="1" s="1"/>
  <c r="S111" i="1"/>
  <c r="Q111" i="1"/>
  <c r="N111" i="1"/>
  <c r="L111" i="1"/>
  <c r="S110" i="1"/>
  <c r="Q110" i="1"/>
  <c r="N110" i="1"/>
  <c r="L110" i="1"/>
  <c r="S109" i="1"/>
  <c r="Q109" i="1"/>
  <c r="Q112" i="1" s="1"/>
  <c r="N109" i="1"/>
  <c r="N112" i="1" s="1"/>
  <c r="L109" i="1"/>
  <c r="L112" i="1" s="1"/>
  <c r="Q107" i="1"/>
  <c r="L107" i="1"/>
  <c r="S106" i="1"/>
  <c r="Q106" i="1"/>
  <c r="N106" i="1"/>
  <c r="L106" i="1"/>
  <c r="S105" i="1"/>
  <c r="S108" i="1" s="1"/>
  <c r="Q105" i="1"/>
  <c r="N105" i="1"/>
  <c r="N108" i="1" s="1"/>
  <c r="L105" i="1"/>
  <c r="S112" i="1" l="1"/>
  <c r="S119" i="1"/>
  <c r="S120" i="1"/>
  <c r="L123" i="1"/>
  <c r="Q116" i="1"/>
  <c r="U116" i="1" s="1"/>
  <c r="L108" i="1"/>
  <c r="P108" i="1" s="1"/>
  <c r="Q121" i="1"/>
  <c r="N119" i="1"/>
  <c r="N120" i="1"/>
  <c r="Q123" i="1"/>
  <c r="U150" i="1"/>
  <c r="Q108" i="1"/>
  <c r="U108" i="1" s="1"/>
  <c r="U112" i="1"/>
  <c r="L150" i="1"/>
  <c r="P112" i="1"/>
  <c r="L125" i="1"/>
  <c r="Q125" i="1"/>
  <c r="L128" i="1"/>
  <c r="Q128" i="1"/>
  <c r="J129" i="1"/>
  <c r="L119" i="1"/>
  <c r="L120" i="1"/>
  <c r="N123" i="1"/>
  <c r="N125" i="1"/>
  <c r="N128" i="1"/>
  <c r="S121" i="1" l="1"/>
  <c r="L121" i="1"/>
  <c r="U121" i="1"/>
  <c r="N121" i="1"/>
  <c r="P121" i="1" s="1"/>
  <c r="P136" i="1" s="1"/>
  <c r="P151" i="1" s="1"/>
  <c r="S129" i="1"/>
  <c r="S130" i="1" s="1"/>
  <c r="S136" i="1" s="1"/>
  <c r="N129" i="1"/>
  <c r="N130" i="1" s="1"/>
  <c r="N136" i="1" s="1"/>
  <c r="Q129" i="1"/>
  <c r="Q130" i="1" s="1"/>
  <c r="L129" i="1"/>
  <c r="L130" i="1" s="1"/>
  <c r="L136" i="1" s="1"/>
  <c r="U130" i="1" l="1"/>
  <c r="U136" i="1" s="1"/>
  <c r="U151" i="1" s="1"/>
  <c r="Q136" i="1"/>
</calcChain>
</file>

<file path=xl/sharedStrings.xml><?xml version="1.0" encoding="utf-8"?>
<sst xmlns="http://schemas.openxmlformats.org/spreadsheetml/2006/main" count="126" uniqueCount="77">
  <si>
    <t>Full-lap</t>
    <phoneticPr fontId="4"/>
  </si>
  <si>
    <t>S</t>
  </si>
  <si>
    <t>Shear level exceeded - kN</t>
  </si>
  <si>
    <t>Tension level exceeded - kN</t>
  </si>
  <si>
    <t>Extension My - Nm</t>
  </si>
  <si>
    <t>Left Femur Compression level -kN</t>
  </si>
  <si>
    <t>Left Knee Slide -mm</t>
  </si>
  <si>
    <t>Right Femur Compression level -kN</t>
  </si>
  <si>
    <t>Right Knee Slide -mm</t>
  </si>
  <si>
    <t>Tibia load -kN</t>
  </si>
  <si>
    <t>UPR</t>
  </si>
  <si>
    <t>LWR</t>
  </si>
  <si>
    <t>OK</t>
  </si>
  <si>
    <t>Fz  -kN</t>
  </si>
  <si>
    <t>Fx  -kN</t>
  </si>
  <si>
    <t>My  -Nm</t>
  </si>
  <si>
    <t>Target</t>
    <phoneticPr fontId="4"/>
  </si>
  <si>
    <t>CRITERIA</t>
  </si>
  <si>
    <t>DR</t>
  </si>
  <si>
    <t>AS</t>
  </si>
  <si>
    <t>SCORE</t>
  </si>
  <si>
    <t>VALUE</t>
  </si>
  <si>
    <t>n=1</t>
  </si>
  <si>
    <r>
      <t xml:space="preserve">FR </t>
    </r>
    <r>
      <rPr>
        <b/>
        <sz val="12"/>
        <color indexed="18"/>
        <rFont val="宋体"/>
        <family val="3"/>
        <charset val="134"/>
      </rPr>
      <t>小計</t>
    </r>
    <rPh sb="3" eb="4">
      <t>ショウ</t>
    </rPh>
    <rPh sb="4" eb="5">
      <t>ケイ</t>
    </rPh>
    <phoneticPr fontId="4"/>
  </si>
  <si>
    <r>
      <t xml:space="preserve">RR </t>
    </r>
    <r>
      <rPr>
        <b/>
        <sz val="12"/>
        <color indexed="18"/>
        <rFont val="宋体"/>
        <family val="3"/>
        <charset val="134"/>
      </rPr>
      <t>小計</t>
    </r>
    <rPh sb="3" eb="4">
      <t>ショウ</t>
    </rPh>
    <rPh sb="4" eb="5">
      <t>ケイ</t>
    </rPh>
    <phoneticPr fontId="4"/>
  </si>
  <si>
    <r>
      <t xml:space="preserve">Fulllap </t>
    </r>
    <r>
      <rPr>
        <b/>
        <sz val="12"/>
        <color indexed="18"/>
        <rFont val="宋体"/>
        <family val="3"/>
        <charset val="134"/>
      </rPr>
      <t>合計</t>
    </r>
    <rPh sb="8" eb="10">
      <t>ゴウケイ</t>
    </rPh>
    <phoneticPr fontId="4"/>
  </si>
  <si>
    <r>
      <rPr>
        <sz val="12"/>
        <color theme="1"/>
        <rFont val="宋体"/>
        <family val="3"/>
        <charset val="134"/>
      </rPr>
      <t>碰撞中</t>
    </r>
    <r>
      <rPr>
        <sz val="12"/>
        <rFont val="宋体"/>
        <family val="3"/>
        <charset val="134"/>
      </rPr>
      <t>门的开启</t>
    </r>
    <rPh sb="0" eb="1">
      <t>ホウ</t>
    </rPh>
    <rPh sb="1" eb="2">
      <t>シュ</t>
    </rPh>
    <rPh sb="2" eb="3">
      <t>チュウ</t>
    </rPh>
    <rPh sb="4" eb="5">
      <t>マト</t>
    </rPh>
    <rPh sb="5" eb="6">
      <t>カイ</t>
    </rPh>
    <rPh sb="6" eb="7">
      <t>ケイ</t>
    </rPh>
    <phoneticPr fontId="4"/>
  </si>
  <si>
    <r>
      <rPr>
        <sz val="12"/>
        <color theme="1"/>
        <rFont val="宋体"/>
        <family val="3"/>
        <charset val="134"/>
      </rPr>
      <t>安全</t>
    </r>
    <r>
      <rPr>
        <sz val="12"/>
        <rFont val="宋体"/>
        <family val="3"/>
        <charset val="134"/>
      </rPr>
      <t>带</t>
    </r>
    <r>
      <rPr>
        <sz val="12"/>
        <color theme="1"/>
        <rFont val="Times New Roman"/>
        <family val="1"/>
      </rPr>
      <t>buckle</t>
    </r>
    <r>
      <rPr>
        <sz val="12"/>
        <color theme="1"/>
        <rFont val="宋体"/>
        <family val="3"/>
        <charset val="134"/>
      </rPr>
      <t>解除力</t>
    </r>
    <rPh sb="9" eb="11">
      <t>カイジョ</t>
    </rPh>
    <rPh sb="11" eb="12">
      <t>リョク</t>
    </rPh>
    <phoneticPr fontId="4"/>
  </si>
  <si>
    <r>
      <rPr>
        <sz val="12"/>
        <color theme="1"/>
        <rFont val="宋体"/>
        <family val="3"/>
        <charset val="134"/>
      </rPr>
      <t>燃油泄漏</t>
    </r>
    <rPh sb="0" eb="2">
      <t>ネンユ</t>
    </rPh>
    <rPh sb="2" eb="3">
      <t>セツ</t>
    </rPh>
    <rPh sb="3" eb="4">
      <t>ロウ</t>
    </rPh>
    <phoneticPr fontId="4"/>
  </si>
  <si>
    <r>
      <rPr>
        <sz val="12"/>
        <rFont val="宋体"/>
        <family val="3"/>
        <charset val="134"/>
      </rPr>
      <t>头部干涉</t>
    </r>
    <rPh sb="1" eb="2">
      <t>ブ</t>
    </rPh>
    <rPh sb="2" eb="3">
      <t>ボシ</t>
    </rPh>
    <rPh sb="3" eb="4">
      <t>ジョウ</t>
    </rPh>
    <phoneticPr fontId="4"/>
  </si>
  <si>
    <t>Full-lap</t>
    <phoneticPr fontId="4"/>
  </si>
  <si>
    <t>FR</t>
    <phoneticPr fontId="4"/>
  </si>
  <si>
    <t>HEAD</t>
    <phoneticPr fontId="4"/>
  </si>
  <si>
    <t>HIC36</t>
    <phoneticPr fontId="5"/>
  </si>
  <si>
    <t>HEAD G-3ms  -G</t>
    <phoneticPr fontId="4"/>
  </si>
  <si>
    <t>HEAD Score</t>
    <phoneticPr fontId="4"/>
  </si>
  <si>
    <t>NECK</t>
    <phoneticPr fontId="4"/>
  </si>
  <si>
    <t>NECK Score</t>
    <phoneticPr fontId="4"/>
  </si>
  <si>
    <t>CHEST</t>
    <phoneticPr fontId="4"/>
  </si>
  <si>
    <t>Compression - mm</t>
    <phoneticPr fontId="4"/>
  </si>
  <si>
    <t>CHEST Score</t>
    <phoneticPr fontId="4"/>
  </si>
  <si>
    <t>LH</t>
    <phoneticPr fontId="4"/>
  </si>
  <si>
    <t>RH</t>
    <phoneticPr fontId="4"/>
  </si>
  <si>
    <t>KNEE Score</t>
    <phoneticPr fontId="4"/>
  </si>
  <si>
    <t>Tibia Index</t>
    <phoneticPr fontId="4"/>
  </si>
  <si>
    <t>Lower Leg Score</t>
    <phoneticPr fontId="4"/>
  </si>
  <si>
    <t>M</t>
    <phoneticPr fontId="4"/>
  </si>
  <si>
    <t>RR AF05</t>
    <phoneticPr fontId="4"/>
  </si>
  <si>
    <t>HEAD&amp;NECK</t>
    <phoneticPr fontId="4"/>
  </si>
  <si>
    <t>NECK Score</t>
    <phoneticPr fontId="4"/>
  </si>
  <si>
    <t>CHEST</t>
    <phoneticPr fontId="4"/>
  </si>
  <si>
    <t>Compression - mm</t>
    <phoneticPr fontId="4"/>
  </si>
  <si>
    <t>CHEST Score</t>
    <phoneticPr fontId="4"/>
  </si>
  <si>
    <t>RR P3</t>
    <phoneticPr fontId="4"/>
  </si>
  <si>
    <t>-</t>
    <phoneticPr fontId="4"/>
  </si>
  <si>
    <t>PF-LOT</t>
    <phoneticPr fontId="4"/>
  </si>
  <si>
    <t>chest VC-m/s</t>
    <phoneticPr fontId="4"/>
  </si>
  <si>
    <t>head G-3ms</t>
    <phoneticPr fontId="4"/>
  </si>
  <si>
    <r>
      <t>STRG</t>
    </r>
    <r>
      <rPr>
        <sz val="12"/>
        <color theme="1"/>
        <rFont val="宋体"/>
        <family val="3"/>
        <charset val="134"/>
      </rPr>
      <t>上方移動量</t>
    </r>
    <r>
      <rPr>
        <sz val="12"/>
        <rFont val="Times New Roman"/>
        <family val="1"/>
      </rPr>
      <t>-mm</t>
    </r>
    <phoneticPr fontId="4"/>
  </si>
  <si>
    <r>
      <t>STRG</t>
    </r>
    <r>
      <rPr>
        <sz val="12"/>
        <color theme="1"/>
        <rFont val="宋体"/>
        <family val="3"/>
        <charset val="134"/>
      </rPr>
      <t>後方移動量</t>
    </r>
    <r>
      <rPr>
        <sz val="12"/>
        <rFont val="Times New Roman"/>
        <family val="1"/>
      </rPr>
      <t>- mm</t>
    </r>
    <phoneticPr fontId="4"/>
  </si>
  <si>
    <r>
      <rPr>
        <sz val="12"/>
        <color theme="1"/>
        <rFont val="宋体"/>
        <family val="3"/>
        <charset val="134"/>
      </rPr>
      <t>前排安全</t>
    </r>
    <r>
      <rPr>
        <sz val="12"/>
        <rFont val="宋体"/>
        <family val="3"/>
        <charset val="134"/>
      </rPr>
      <t>带</t>
    </r>
    <r>
      <rPr>
        <sz val="12"/>
        <color theme="1"/>
        <rFont val="宋体"/>
        <family val="3"/>
        <charset val="134"/>
      </rPr>
      <t>减分</t>
    </r>
    <r>
      <rPr>
        <sz val="12"/>
        <rFont val="宋体"/>
        <family val="3"/>
        <charset val="134"/>
      </rPr>
      <t>项</t>
    </r>
    <phoneticPr fontId="4"/>
  </si>
  <si>
    <r>
      <rPr>
        <sz val="12"/>
        <color theme="1"/>
        <rFont val="宋体"/>
        <family val="3"/>
        <charset val="134"/>
      </rPr>
      <t>安全</t>
    </r>
    <r>
      <rPr>
        <sz val="12"/>
        <rFont val="宋体"/>
        <family val="3"/>
        <charset val="134"/>
      </rPr>
      <t>带失效</t>
    </r>
    <phoneticPr fontId="4"/>
  </si>
  <si>
    <r>
      <rPr>
        <sz val="12"/>
        <rFont val="宋体"/>
        <family val="3"/>
        <charset val="134"/>
      </rPr>
      <t>总体减分项</t>
    </r>
    <phoneticPr fontId="5"/>
  </si>
  <si>
    <r>
      <rPr>
        <sz val="12"/>
        <rFont val="宋体"/>
        <family val="3"/>
        <charset val="134"/>
      </rPr>
      <t>碰撞后，门的开放性</t>
    </r>
    <phoneticPr fontId="4"/>
  </si>
  <si>
    <r>
      <t>H</t>
    </r>
    <r>
      <rPr>
        <sz val="12"/>
        <color theme="1"/>
        <rFont val="Times New Roman"/>
        <family val="1"/>
      </rPr>
      <t>IC15</t>
    </r>
    <phoneticPr fontId="4"/>
  </si>
  <si>
    <r>
      <rPr>
        <sz val="12"/>
        <color theme="1"/>
        <rFont val="宋体"/>
        <family val="3"/>
        <charset val="134"/>
      </rPr>
      <t>后排安全</t>
    </r>
    <r>
      <rPr>
        <sz val="12"/>
        <rFont val="宋体"/>
        <family val="3"/>
        <charset val="134"/>
      </rPr>
      <t>带罚分</t>
    </r>
    <phoneticPr fontId="4"/>
  </si>
  <si>
    <r>
      <rPr>
        <sz val="12"/>
        <color theme="1"/>
        <rFont val="宋体"/>
        <family val="3"/>
        <charset val="134"/>
      </rPr>
      <t>儿童</t>
    </r>
    <r>
      <rPr>
        <sz val="12"/>
        <rFont val="宋体"/>
        <family val="3"/>
        <charset val="134"/>
      </rPr>
      <t>约束系统罚分</t>
    </r>
    <phoneticPr fontId="4"/>
  </si>
  <si>
    <r>
      <rPr>
        <sz val="12"/>
        <color theme="1"/>
        <rFont val="宋体"/>
        <family val="3"/>
        <charset val="134"/>
      </rPr>
      <t>シートベルトの失効</t>
    </r>
    <phoneticPr fontId="4"/>
  </si>
  <si>
    <t>综合   评价</t>
    <rPh sb="0" eb="2">
      <t>ソウゴウ</t>
    </rPh>
    <rPh sb="2" eb="4">
      <t>ヒョウカ</t>
    </rPh>
    <phoneticPr fontId="4"/>
  </si>
  <si>
    <t>满分</t>
    <rPh sb="0" eb="2">
      <t>マンテン</t>
    </rPh>
    <phoneticPr fontId="4"/>
  </si>
  <si>
    <t>整车碰撞实验数据自动化处理系统(for 50FLP)</t>
    <phoneticPr fontId="4"/>
  </si>
  <si>
    <r>
      <rPr>
        <sz val="11"/>
        <color theme="1"/>
        <rFont val="宋体"/>
        <family val="2"/>
      </rPr>
      <t xml:space="preserve">                        </t>
    </r>
    <r>
      <rPr>
        <sz val="11"/>
        <color theme="1"/>
        <rFont val="仿宋"/>
        <family val="3"/>
        <charset val="134"/>
      </rPr>
      <t>作者：谢家昱 于波</t>
    </r>
    <phoneticPr fontId="4"/>
  </si>
  <si>
    <t>实验号</t>
    <phoneticPr fontId="4"/>
  </si>
  <si>
    <t>车重 [kg]</t>
    <phoneticPr fontId="4"/>
  </si>
  <si>
    <t>车速 [km/h]</t>
    <phoneticPr fontId="4"/>
  </si>
  <si>
    <t>假人骨盆角 [°]</t>
    <phoneticPr fontId="4"/>
  </si>
  <si>
    <t>注意事项:                                                     1.除首页外，点击每一页A1单元格超链接可以返回首页；              2.“启动程序-数据导入”步骤导入数据格式为.xls或.xlsx；          3.进行“启动程序-处理分析”步骤前，请确保工作簿中仅包含首页以及  “数据导入”步骤所导入的数据，以免程序报错；                    4.进行“启动程序-处理分析”步骤时，若勾选启用骨盆角，本程序默认X方向及Z方向加速度绝对值最大时方向为负（如果abs(ai)=max(abs(a))，那么ai&lt;0，否则全列取反），计算结果有误时，请首先检查数据是否满足要求；不勾选启用骨盆角时，骨盆角默认为0°；另外，分析报告中不含骨盆数据，是否启用骨盆角对分析结果、评分没有任何影响；              5.通过“图表索引”和“数据索引”可以方便地查询工作表；          6.通过“启动程序-表单清理”可以方便地选择并删除工作表；         7.“启动程序-处理分析”步骤的运行时间由一分钟至数分钟不等，与所需处理的数据量有关，请耐心等待。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</si>
</sst>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22">
    <font>
      <sz val="11"/>
      <color theme="1"/>
      <name val="宋体"/>
      <family val="2"/>
      <scheme val="minor"/>
    </font>
    <font>
      <sz val="10"/>
      <name val="Arial"/>
      <family val="2"/>
    </font>
    <font>
      <sz val="12"/>
      <name val="宋体"/>
      <family val="3"/>
      <charset val="134"/>
    </font>
    <font>
      <sz val="11"/>
      <name val="ＭＳ Ｐゴシック"/>
      <family val="2"/>
    </font>
    <font>
      <sz val="6"/>
      <name val="ＭＳ Ｐゴシック"/>
      <family val="2"/>
    </font>
    <font>
      <sz val="6"/>
      <name val="宋体"/>
      <family val="3"/>
      <charset val="134"/>
    </font>
    <font>
      <sz val="12"/>
      <name val="Osaka"/>
      <family val="3"/>
      <charset val="128"/>
    </font>
    <font>
      <b/>
      <sz val="12"/>
      <color indexed="18"/>
      <name val="宋体"/>
      <family val="3"/>
      <charset val="134"/>
    </font>
    <font>
      <b/>
      <sz val="12"/>
      <color indexed="1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b/>
      <sz val="12"/>
      <color indexed="12"/>
      <name val="Times New Roman"/>
      <family val="1"/>
    </font>
    <font>
      <sz val="12"/>
      <color indexed="12"/>
      <name val="Times New Roman"/>
      <family val="1"/>
    </font>
    <font>
      <sz val="12"/>
      <color indexed="18"/>
      <name val="Times New Roman"/>
      <family val="1"/>
    </font>
    <font>
      <b/>
      <sz val="12"/>
      <name val="Times New Roman"/>
      <family val="1"/>
    </font>
    <font>
      <sz val="12"/>
      <color theme="1"/>
      <name val="Times New Roman"/>
      <family val="1"/>
    </font>
    <font>
      <b/>
      <sz val="12"/>
      <color indexed="8"/>
      <name val="Times New Roman"/>
      <family val="1"/>
    </font>
    <font>
      <sz val="12"/>
      <color theme="1"/>
      <name val="宋体"/>
      <family val="3"/>
      <charset val="134"/>
    </font>
    <font>
      <sz val="11"/>
      <color theme="1"/>
      <name val="Tahoma"/>
      <family val="2"/>
      <charset val="134"/>
    </font>
    <font>
      <b/>
      <sz val="11"/>
      <color theme="1"/>
      <name val="华文仿宋"/>
      <family val="3"/>
      <charset val="134"/>
    </font>
    <font>
      <sz val="11"/>
      <color theme="1"/>
      <name val="仿宋"/>
      <family val="3"/>
      <charset val="134"/>
    </font>
    <font>
      <sz val="11"/>
      <color theme="1"/>
      <name val="宋体"/>
      <family val="2"/>
    </font>
  </fonts>
  <fills count="1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</fills>
  <borders count="118">
    <border>
      <left/>
      <right/>
      <top/>
      <bottom/>
      <diagonal/>
    </border>
    <border>
      <left style="medium">
        <color indexed="10"/>
      </left>
      <right/>
      <top style="medium">
        <color indexed="1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10"/>
      </top>
      <bottom/>
      <diagonal/>
    </border>
    <border>
      <left style="thin">
        <color indexed="64"/>
      </left>
      <right/>
      <top style="medium">
        <color indexed="10"/>
      </top>
      <bottom style="dotted">
        <color indexed="64"/>
      </bottom>
      <diagonal/>
    </border>
    <border>
      <left/>
      <right/>
      <top style="medium">
        <color indexed="10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10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10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10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10"/>
      </top>
      <bottom style="dotted">
        <color indexed="64"/>
      </bottom>
      <diagonal/>
    </border>
    <border>
      <left style="medium">
        <color indexed="1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/>
      <top/>
      <bottom style="medium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10"/>
      </bottom>
      <diagonal/>
    </border>
    <border>
      <left style="medium">
        <color indexed="64"/>
      </left>
      <right/>
      <top style="medium">
        <color indexed="64"/>
      </top>
      <bottom style="medium">
        <color indexed="10"/>
      </bottom>
      <diagonal/>
    </border>
    <border>
      <left/>
      <right/>
      <top style="medium">
        <color indexed="64"/>
      </top>
      <bottom style="medium">
        <color indexed="10"/>
      </bottom>
      <diagonal/>
    </border>
    <border>
      <left/>
      <right style="thin">
        <color indexed="64"/>
      </right>
      <top style="medium">
        <color indexed="64"/>
      </top>
      <bottom style="medium">
        <color indexed="10"/>
      </bottom>
      <diagonal/>
    </border>
    <border>
      <left style="thin">
        <color indexed="64"/>
      </left>
      <right style="medium">
        <color indexed="64"/>
      </right>
      <top/>
      <bottom style="medium">
        <color indexed="1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10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2" fillId="0" borderId="0">
      <alignment vertical="center"/>
    </xf>
    <xf numFmtId="0" fontId="3" fillId="0" borderId="0"/>
    <xf numFmtId="0" fontId="3" fillId="0" borderId="0"/>
    <xf numFmtId="0" fontId="6" fillId="0" borderId="0"/>
    <xf numFmtId="0" fontId="18" fillId="0" borderId="0"/>
  </cellStyleXfs>
  <cellXfs count="319">
    <xf numFmtId="0" fontId="0" fillId="0" borderId="0" xfId="0"/>
    <xf numFmtId="0" fontId="8" fillId="2" borderId="1" xfId="3" applyFont="1" applyFill="1" applyBorder="1" applyAlignment="1" applyProtection="1">
      <alignment horizontal="left"/>
      <protection locked="0"/>
    </xf>
    <xf numFmtId="0" fontId="8" fillId="2" borderId="2" xfId="3" applyFont="1" applyFill="1" applyBorder="1" applyAlignment="1" applyProtection="1">
      <alignment horizontal="left"/>
      <protection locked="0"/>
    </xf>
    <xf numFmtId="0" fontId="9" fillId="3" borderId="7" xfId="3" applyFont="1" applyFill="1" applyBorder="1" applyAlignment="1" applyProtection="1">
      <alignment horizontal="center"/>
      <protection locked="0"/>
    </xf>
    <xf numFmtId="0" fontId="9" fillId="3" borderId="4" xfId="3" applyFont="1" applyFill="1" applyBorder="1" applyAlignment="1" applyProtection="1">
      <alignment horizontal="center"/>
      <protection locked="0"/>
    </xf>
    <xf numFmtId="2" fontId="9" fillId="3" borderId="7" xfId="4" quotePrefix="1" applyNumberFormat="1" applyFont="1" applyFill="1" applyBorder="1" applyAlignment="1" applyProtection="1">
      <alignment horizontal="center"/>
      <protection locked="0"/>
    </xf>
    <xf numFmtId="1" fontId="10" fillId="0" borderId="4" xfId="4" applyNumberFormat="1" applyFont="1" applyFill="1" applyBorder="1" applyAlignment="1" applyProtection="1">
      <alignment horizontal="right"/>
      <protection locked="0"/>
    </xf>
    <xf numFmtId="2" fontId="9" fillId="3" borderId="8" xfId="4" quotePrefix="1" applyNumberFormat="1" applyFont="1" applyFill="1" applyBorder="1" applyAlignment="1" applyProtection="1">
      <alignment horizontal="center"/>
      <protection locked="0"/>
    </xf>
    <xf numFmtId="1" fontId="10" fillId="4" borderId="9" xfId="4" applyNumberFormat="1" applyFont="1" applyFill="1" applyBorder="1" applyAlignment="1" applyProtection="1">
      <alignment horizontal="right"/>
      <protection locked="0"/>
    </xf>
    <xf numFmtId="0" fontId="9" fillId="3" borderId="15" xfId="3" applyFont="1" applyFill="1" applyBorder="1" applyAlignment="1" applyProtection="1">
      <alignment horizontal="center"/>
      <protection locked="0"/>
    </xf>
    <xf numFmtId="0" fontId="9" fillId="3" borderId="12" xfId="3" applyFont="1" applyFill="1" applyBorder="1" applyAlignment="1" applyProtection="1">
      <alignment horizontal="center"/>
      <protection locked="0"/>
    </xf>
    <xf numFmtId="2" fontId="9" fillId="3" borderId="15" xfId="4" quotePrefix="1" applyNumberFormat="1" applyFont="1" applyFill="1" applyBorder="1" applyAlignment="1" applyProtection="1">
      <alignment horizontal="center"/>
      <protection locked="0"/>
    </xf>
    <xf numFmtId="176" fontId="10" fillId="0" borderId="12" xfId="4" applyNumberFormat="1" applyFont="1" applyFill="1" applyBorder="1" applyAlignment="1" applyProtection="1">
      <protection locked="0"/>
    </xf>
    <xf numFmtId="2" fontId="9" fillId="3" borderId="12" xfId="4" applyNumberFormat="1" applyFont="1" applyFill="1" applyBorder="1" applyAlignment="1" applyProtection="1">
      <alignment horizontal="center"/>
      <protection locked="0"/>
    </xf>
    <xf numFmtId="176" fontId="10" fillId="4" borderId="16" xfId="4" applyNumberFormat="1" applyFont="1" applyFill="1" applyBorder="1" applyAlignment="1" applyProtection="1">
      <protection locked="0"/>
    </xf>
    <xf numFmtId="0" fontId="9" fillId="3" borderId="22" xfId="3" applyFont="1" applyFill="1" applyBorder="1" applyAlignment="1" applyProtection="1">
      <alignment horizontal="center"/>
      <protection locked="0"/>
    </xf>
    <xf numFmtId="0" fontId="9" fillId="3" borderId="19" xfId="3" applyFont="1" applyFill="1" applyBorder="1" applyAlignment="1" applyProtection="1">
      <alignment horizontal="center"/>
      <protection locked="0"/>
    </xf>
    <xf numFmtId="2" fontId="9" fillId="3" borderId="23" xfId="4" applyNumberFormat="1" applyFont="1" applyFill="1" applyBorder="1" applyAlignment="1" applyProtection="1">
      <alignment horizontal="center"/>
      <protection locked="0"/>
    </xf>
    <xf numFmtId="0" fontId="10" fillId="0" borderId="19" xfId="4" applyFont="1" applyFill="1" applyBorder="1" applyAlignment="1" applyProtection="1">
      <protection locked="0"/>
    </xf>
    <xf numFmtId="2" fontId="9" fillId="4" borderId="19" xfId="4" applyNumberFormat="1" applyFont="1" applyFill="1" applyBorder="1" applyAlignment="1" applyProtection="1">
      <alignment horizontal="center"/>
      <protection locked="0"/>
    </xf>
    <xf numFmtId="0" fontId="10" fillId="4" borderId="19" xfId="4" applyFont="1" applyFill="1" applyBorder="1" applyAlignment="1" applyProtection="1">
      <protection locked="0"/>
    </xf>
    <xf numFmtId="0" fontId="10" fillId="4" borderId="24" xfId="4" applyFont="1" applyFill="1" applyBorder="1" applyAlignment="1" applyProtection="1">
      <protection locked="0"/>
    </xf>
    <xf numFmtId="0" fontId="12" fillId="5" borderId="29" xfId="3" applyFont="1" applyFill="1" applyBorder="1" applyAlignment="1" applyProtection="1">
      <alignment horizontal="center" wrapText="1"/>
      <protection locked="0"/>
    </xf>
    <xf numFmtId="0" fontId="12" fillId="5" borderId="27" xfId="3" applyFont="1" applyFill="1" applyBorder="1" applyAlignment="1" applyProtection="1">
      <alignment horizontal="center" wrapText="1"/>
      <protection locked="0"/>
    </xf>
    <xf numFmtId="2" fontId="11" fillId="5" borderId="30" xfId="4" applyNumberFormat="1" applyFont="1" applyFill="1" applyBorder="1" applyAlignment="1" applyProtection="1">
      <alignment horizontal="center" wrapText="1"/>
      <protection locked="0"/>
    </xf>
    <xf numFmtId="0" fontId="11" fillId="5" borderId="27" xfId="4" applyFont="1" applyFill="1" applyBorder="1" applyAlignment="1" applyProtection="1">
      <alignment horizontal="center" wrapText="1"/>
      <protection locked="0"/>
    </xf>
    <xf numFmtId="2" fontId="11" fillId="5" borderId="27" xfId="4" applyNumberFormat="1" applyFont="1" applyFill="1" applyBorder="1" applyAlignment="1" applyProtection="1">
      <alignment horizontal="center" wrapText="1"/>
      <protection locked="0"/>
    </xf>
    <xf numFmtId="2" fontId="11" fillId="5" borderId="31" xfId="4" applyNumberFormat="1" applyFont="1" applyFill="1" applyBorder="1" applyAlignment="1" applyProtection="1">
      <alignment horizontal="center" wrapText="1"/>
      <protection locked="0"/>
    </xf>
    <xf numFmtId="0" fontId="9" fillId="3" borderId="35" xfId="3" applyFont="1" applyFill="1" applyBorder="1" applyAlignment="1" applyProtection="1">
      <alignment horizontal="center" wrapText="1"/>
      <protection locked="0"/>
    </xf>
    <xf numFmtId="0" fontId="9" fillId="3" borderId="32" xfId="3" applyFont="1" applyFill="1" applyBorder="1" applyAlignment="1" applyProtection="1">
      <alignment horizontal="center" wrapText="1"/>
      <protection locked="0"/>
    </xf>
    <xf numFmtId="2" fontId="9" fillId="3" borderId="36" xfId="4" applyNumberFormat="1" applyFont="1" applyFill="1" applyBorder="1" applyAlignment="1" applyProtection="1">
      <alignment horizontal="center"/>
      <protection locked="0"/>
    </xf>
    <xf numFmtId="2" fontId="10" fillId="0" borderId="32" xfId="4" applyNumberFormat="1" applyFont="1" applyFill="1" applyBorder="1" applyAlignment="1" applyProtection="1">
      <alignment wrapText="1"/>
      <protection locked="0"/>
    </xf>
    <xf numFmtId="2" fontId="9" fillId="3" borderId="32" xfId="4" applyNumberFormat="1" applyFont="1" applyFill="1" applyBorder="1" applyAlignment="1" applyProtection="1">
      <alignment horizontal="center"/>
      <protection locked="0"/>
    </xf>
    <xf numFmtId="2" fontId="10" fillId="4" borderId="37" xfId="4" applyNumberFormat="1" applyFont="1" applyFill="1" applyBorder="1" applyAlignment="1" applyProtection="1">
      <alignment wrapText="1"/>
      <protection locked="0"/>
    </xf>
    <xf numFmtId="0" fontId="9" fillId="3" borderId="15" xfId="3" applyFont="1" applyFill="1" applyBorder="1" applyAlignment="1" applyProtection="1">
      <alignment horizontal="center" wrapText="1"/>
      <protection locked="0"/>
    </xf>
    <xf numFmtId="0" fontId="9" fillId="3" borderId="12" xfId="3" applyFont="1" applyFill="1" applyBorder="1" applyAlignment="1" applyProtection="1">
      <alignment horizontal="center" wrapText="1"/>
      <protection locked="0"/>
    </xf>
    <xf numFmtId="2" fontId="9" fillId="3" borderId="38" xfId="4" applyNumberFormat="1" applyFont="1" applyFill="1" applyBorder="1" applyAlignment="1" applyProtection="1">
      <alignment horizontal="center"/>
      <protection locked="0"/>
    </xf>
    <xf numFmtId="2" fontId="10" fillId="0" borderId="12" xfId="4" applyNumberFormat="1" applyFont="1" applyFill="1" applyBorder="1" applyAlignment="1" applyProtection="1">
      <alignment wrapText="1"/>
      <protection locked="0"/>
    </xf>
    <xf numFmtId="2" fontId="10" fillId="4" borderId="16" xfId="4" applyNumberFormat="1" applyFont="1" applyFill="1" applyBorder="1" applyAlignment="1" applyProtection="1">
      <alignment wrapText="1"/>
      <protection locked="0"/>
    </xf>
    <xf numFmtId="0" fontId="9" fillId="3" borderId="22" xfId="3" applyFont="1" applyFill="1" applyBorder="1" applyAlignment="1" applyProtection="1">
      <alignment horizontal="center" wrapText="1"/>
      <protection locked="0"/>
    </xf>
    <xf numFmtId="0" fontId="9" fillId="3" borderId="19" xfId="3" applyFont="1" applyFill="1" applyBorder="1" applyAlignment="1" applyProtection="1">
      <alignment horizontal="center" wrapText="1"/>
      <protection locked="0"/>
    </xf>
    <xf numFmtId="2" fontId="9" fillId="3" borderId="23" xfId="4" applyNumberFormat="1" applyFont="1" applyFill="1" applyBorder="1" applyAlignment="1" applyProtection="1">
      <alignment horizontal="center" wrapText="1"/>
      <protection locked="0"/>
    </xf>
    <xf numFmtId="176" fontId="10" fillId="0" borderId="19" xfId="4" applyNumberFormat="1" applyFont="1" applyFill="1" applyBorder="1" applyAlignment="1" applyProtection="1">
      <alignment wrapText="1"/>
      <protection locked="0"/>
    </xf>
    <xf numFmtId="2" fontId="9" fillId="3" borderId="19" xfId="4" applyNumberFormat="1" applyFont="1" applyFill="1" applyBorder="1" applyAlignment="1" applyProtection="1">
      <alignment horizontal="center" wrapText="1"/>
      <protection locked="0"/>
    </xf>
    <xf numFmtId="176" fontId="10" fillId="4" borderId="24" xfId="4" applyNumberFormat="1" applyFont="1" applyFill="1" applyBorder="1" applyAlignment="1" applyProtection="1">
      <alignment wrapText="1"/>
      <protection locked="0"/>
    </xf>
    <xf numFmtId="0" fontId="9" fillId="3" borderId="35" xfId="3" applyFont="1" applyFill="1" applyBorder="1" applyAlignment="1" applyProtection="1">
      <alignment horizontal="center"/>
      <protection locked="0"/>
    </xf>
    <xf numFmtId="0" fontId="9" fillId="3" borderId="32" xfId="3" applyFont="1" applyFill="1" applyBorder="1" applyAlignment="1" applyProtection="1">
      <alignment horizontal="center"/>
      <protection locked="0"/>
    </xf>
    <xf numFmtId="176" fontId="9" fillId="0" borderId="32" xfId="4" applyNumberFormat="1" applyFont="1" applyFill="1" applyBorder="1" applyAlignment="1" applyProtection="1">
      <protection locked="0"/>
    </xf>
    <xf numFmtId="176" fontId="9" fillId="4" borderId="37" xfId="4" applyNumberFormat="1" applyFont="1" applyFill="1" applyBorder="1" applyAlignment="1" applyProtection="1">
      <protection locked="0"/>
    </xf>
    <xf numFmtId="176" fontId="9" fillId="3" borderId="12" xfId="3" applyNumberFormat="1" applyFont="1" applyFill="1" applyBorder="1" applyAlignment="1" applyProtection="1">
      <alignment horizontal="center"/>
      <protection locked="0"/>
    </xf>
    <xf numFmtId="2" fontId="9" fillId="4" borderId="16" xfId="4" applyNumberFormat="1" applyFont="1" applyFill="1" applyBorder="1" applyAlignment="1" applyProtection="1">
      <protection locked="0"/>
    </xf>
    <xf numFmtId="0" fontId="12" fillId="5" borderId="29" xfId="3" applyFont="1" applyFill="1" applyBorder="1" applyAlignment="1" applyProtection="1">
      <alignment horizontal="center"/>
      <protection locked="0"/>
    </xf>
    <xf numFmtId="0" fontId="12" fillId="5" borderId="27" xfId="3" applyFont="1" applyFill="1" applyBorder="1" applyAlignment="1" applyProtection="1">
      <alignment horizontal="center"/>
      <protection locked="0"/>
    </xf>
    <xf numFmtId="2" fontId="11" fillId="5" borderId="29" xfId="4" applyNumberFormat="1" applyFont="1" applyFill="1" applyBorder="1" applyAlignment="1" applyProtection="1">
      <alignment horizontal="center"/>
      <protection locked="0"/>
    </xf>
    <xf numFmtId="2" fontId="11" fillId="5" borderId="27" xfId="4" applyNumberFormat="1" applyFont="1" applyFill="1" applyBorder="1" applyAlignment="1" applyProtection="1">
      <alignment horizontal="center"/>
      <protection locked="0"/>
    </xf>
    <xf numFmtId="2" fontId="11" fillId="5" borderId="41" xfId="4" applyNumberFormat="1" applyFont="1" applyFill="1" applyBorder="1" applyAlignment="1" applyProtection="1">
      <alignment horizontal="center"/>
      <protection locked="0"/>
    </xf>
    <xf numFmtId="2" fontId="9" fillId="3" borderId="35" xfId="4" applyNumberFormat="1" applyFont="1" applyFill="1" applyBorder="1" applyAlignment="1" applyProtection="1">
      <alignment horizontal="center"/>
      <protection locked="0"/>
    </xf>
    <xf numFmtId="2" fontId="9" fillId="0" borderId="32" xfId="4" applyNumberFormat="1" applyFont="1" applyFill="1" applyBorder="1" applyAlignment="1" applyProtection="1">
      <alignment wrapText="1"/>
      <protection locked="0"/>
    </xf>
    <xf numFmtId="2" fontId="9" fillId="3" borderId="43" xfId="4" applyNumberFormat="1" applyFont="1" applyFill="1" applyBorder="1" applyAlignment="1" applyProtection="1">
      <alignment horizontal="center"/>
      <protection locked="0"/>
    </xf>
    <xf numFmtId="2" fontId="9" fillId="4" borderId="37" xfId="4" applyNumberFormat="1" applyFont="1" applyFill="1" applyBorder="1" applyAlignment="1" applyProtection="1">
      <alignment wrapText="1"/>
      <protection locked="0"/>
    </xf>
    <xf numFmtId="2" fontId="9" fillId="3" borderId="15" xfId="4" applyNumberFormat="1" applyFont="1" applyFill="1" applyBorder="1" applyAlignment="1" applyProtection="1">
      <alignment horizontal="center"/>
      <protection locked="0"/>
    </xf>
    <xf numFmtId="2" fontId="9" fillId="0" borderId="12" xfId="4" applyNumberFormat="1" applyFont="1" applyFill="1" applyBorder="1" applyAlignment="1" applyProtection="1">
      <protection locked="0"/>
    </xf>
    <xf numFmtId="2" fontId="9" fillId="3" borderId="44" xfId="4" applyNumberFormat="1" applyFont="1" applyFill="1" applyBorder="1" applyAlignment="1" applyProtection="1">
      <alignment horizontal="center"/>
      <protection locked="0"/>
    </xf>
    <xf numFmtId="2" fontId="9" fillId="0" borderId="12" xfId="4" applyNumberFormat="1" applyFont="1" applyFill="1" applyBorder="1" applyAlignment="1" applyProtection="1">
      <alignment wrapText="1"/>
      <protection locked="0"/>
    </xf>
    <xf numFmtId="2" fontId="9" fillId="3" borderId="44" xfId="4" quotePrefix="1" applyNumberFormat="1" applyFont="1" applyFill="1" applyBorder="1" applyAlignment="1" applyProtection="1">
      <alignment horizontal="center"/>
      <protection locked="0"/>
    </xf>
    <xf numFmtId="2" fontId="9" fillId="4" borderId="16" xfId="4" applyNumberFormat="1" applyFont="1" applyFill="1" applyBorder="1" applyAlignment="1" applyProtection="1">
      <alignment wrapText="1"/>
      <protection locked="0"/>
    </xf>
    <xf numFmtId="2" fontId="9" fillId="3" borderId="22" xfId="4" quotePrefix="1" applyNumberFormat="1" applyFont="1" applyFill="1" applyBorder="1" applyAlignment="1" applyProtection="1">
      <alignment horizontal="center"/>
      <protection locked="0"/>
    </xf>
    <xf numFmtId="2" fontId="9" fillId="0" borderId="19" xfId="4" applyNumberFormat="1" applyFont="1" applyFill="1" applyBorder="1" applyAlignment="1" applyProtection="1">
      <protection locked="0"/>
    </xf>
    <xf numFmtId="2" fontId="9" fillId="3" borderId="45" xfId="4" quotePrefix="1" applyNumberFormat="1" applyFont="1" applyFill="1" applyBorder="1" applyAlignment="1" applyProtection="1">
      <alignment horizontal="center"/>
      <protection locked="0"/>
    </xf>
    <xf numFmtId="2" fontId="9" fillId="4" borderId="24" xfId="4" applyNumberFormat="1" applyFont="1" applyFill="1" applyBorder="1" applyAlignment="1" applyProtection="1">
      <protection locked="0"/>
    </xf>
    <xf numFmtId="0" fontId="11" fillId="5" borderId="27" xfId="4" applyFont="1" applyFill="1" applyBorder="1" applyAlignment="1" applyProtection="1">
      <alignment horizontal="center"/>
      <protection locked="0"/>
    </xf>
    <xf numFmtId="2" fontId="9" fillId="3" borderId="35" xfId="4" quotePrefix="1" applyNumberFormat="1" applyFont="1" applyFill="1" applyBorder="1" applyAlignment="1" applyProtection="1">
      <alignment horizontal="center"/>
      <protection locked="0"/>
    </xf>
    <xf numFmtId="2" fontId="9" fillId="0" borderId="32" xfId="4" applyNumberFormat="1" applyFont="1" applyFill="1" applyBorder="1" applyAlignment="1" applyProtection="1">
      <protection locked="0"/>
    </xf>
    <xf numFmtId="2" fontId="9" fillId="3" borderId="43" xfId="4" quotePrefix="1" applyNumberFormat="1" applyFont="1" applyFill="1" applyBorder="1" applyAlignment="1" applyProtection="1">
      <alignment horizontal="center"/>
      <protection locked="0"/>
    </xf>
    <xf numFmtId="2" fontId="9" fillId="4" borderId="37" xfId="4" applyNumberFormat="1" applyFont="1" applyFill="1" applyBorder="1" applyAlignment="1" applyProtection="1">
      <protection locked="0"/>
    </xf>
    <xf numFmtId="0" fontId="9" fillId="3" borderId="51" xfId="3" applyFont="1" applyFill="1" applyBorder="1" applyAlignment="1" applyProtection="1">
      <alignment horizontal="center"/>
      <protection locked="0"/>
    </xf>
    <xf numFmtId="0" fontId="9" fillId="3" borderId="49" xfId="3" applyFont="1" applyFill="1" applyBorder="1" applyAlignment="1" applyProtection="1">
      <alignment horizontal="center"/>
      <protection locked="0"/>
    </xf>
    <xf numFmtId="2" fontId="9" fillId="3" borderId="52" xfId="4" quotePrefix="1" applyNumberFormat="1" applyFont="1" applyFill="1" applyBorder="1" applyAlignment="1" applyProtection="1">
      <alignment horizontal="center"/>
      <protection locked="0"/>
    </xf>
    <xf numFmtId="2" fontId="9" fillId="0" borderId="53" xfId="4" applyNumberFormat="1" applyFont="1" applyFill="1" applyBorder="1" applyAlignment="1" applyProtection="1">
      <protection locked="0"/>
    </xf>
    <xf numFmtId="2" fontId="9" fillId="3" borderId="54" xfId="4" quotePrefix="1" applyNumberFormat="1" applyFont="1" applyFill="1" applyBorder="1" applyAlignment="1" applyProtection="1">
      <alignment horizontal="center"/>
      <protection locked="0"/>
    </xf>
    <xf numFmtId="2" fontId="9" fillId="4" borderId="55" xfId="4" applyNumberFormat="1" applyFont="1" applyFill="1" applyBorder="1" applyAlignment="1" applyProtection="1">
      <protection locked="0"/>
    </xf>
    <xf numFmtId="0" fontId="9" fillId="3" borderId="57" xfId="3" applyFont="1" applyFill="1" applyBorder="1" applyAlignment="1" applyProtection="1">
      <alignment horizontal="center"/>
      <protection locked="0"/>
    </xf>
    <xf numFmtId="0" fontId="9" fillId="3" borderId="58" xfId="3" applyFont="1" applyFill="1" applyBorder="1" applyAlignment="1" applyProtection="1">
      <alignment horizontal="center"/>
      <protection locked="0"/>
    </xf>
    <xf numFmtId="2" fontId="9" fillId="3" borderId="57" xfId="4" quotePrefix="1" applyNumberFormat="1" applyFont="1" applyFill="1" applyBorder="1" applyAlignment="1" applyProtection="1">
      <alignment horizontal="center"/>
      <protection locked="0"/>
    </xf>
    <xf numFmtId="2" fontId="9" fillId="3" borderId="59" xfId="4" quotePrefix="1" applyNumberFormat="1" applyFont="1" applyFill="1" applyBorder="1" applyAlignment="1" applyProtection="1">
      <alignment horizontal="center"/>
      <protection locked="0"/>
    </xf>
    <xf numFmtId="2" fontId="9" fillId="0" borderId="58" xfId="4" applyNumberFormat="1" applyFont="1" applyFill="1" applyBorder="1" applyAlignment="1" applyProtection="1">
      <alignment horizontal="right"/>
      <protection locked="0"/>
    </xf>
    <xf numFmtId="2" fontId="9" fillId="4" borderId="60" xfId="4" applyNumberFormat="1" applyFont="1" applyFill="1" applyBorder="1" applyAlignment="1" applyProtection="1">
      <alignment horizontal="right"/>
      <protection locked="0"/>
    </xf>
    <xf numFmtId="2" fontId="9" fillId="0" borderId="53" xfId="4" applyNumberFormat="1" applyFont="1" applyFill="1" applyBorder="1" applyAlignment="1" applyProtection="1">
      <alignment horizontal="right"/>
      <protection locked="0"/>
    </xf>
    <xf numFmtId="2" fontId="9" fillId="4" borderId="55" xfId="4" applyNumberFormat="1" applyFont="1" applyFill="1" applyBorder="1" applyAlignment="1" applyProtection="1">
      <alignment horizontal="right"/>
      <protection locked="0"/>
    </xf>
    <xf numFmtId="2" fontId="9" fillId="3" borderId="57" xfId="4" applyNumberFormat="1" applyFont="1" applyFill="1" applyBorder="1" applyAlignment="1" applyProtection="1">
      <alignment horizontal="center"/>
      <protection locked="0"/>
    </xf>
    <xf numFmtId="2" fontId="9" fillId="0" borderId="58" xfId="4" applyNumberFormat="1" applyFont="1" applyFill="1" applyBorder="1" applyAlignment="1" applyProtection="1">
      <protection locked="0"/>
    </xf>
    <xf numFmtId="2" fontId="9" fillId="3" borderId="59" xfId="4" applyNumberFormat="1" applyFont="1" applyFill="1" applyBorder="1" applyAlignment="1" applyProtection="1">
      <alignment horizontal="center"/>
      <protection locked="0"/>
    </xf>
    <xf numFmtId="2" fontId="9" fillId="4" borderId="60" xfId="4" applyNumberFormat="1" applyFont="1" applyFill="1" applyBorder="1" applyAlignment="1" applyProtection="1">
      <protection locked="0"/>
    </xf>
    <xf numFmtId="2" fontId="9" fillId="3" borderId="52" xfId="4" applyNumberFormat="1" applyFont="1" applyFill="1" applyBorder="1" applyAlignment="1" applyProtection="1">
      <alignment horizontal="center"/>
      <protection locked="0"/>
    </xf>
    <xf numFmtId="2" fontId="9" fillId="3" borderId="54" xfId="4" applyNumberFormat="1" applyFont="1" applyFill="1" applyBorder="1" applyAlignment="1" applyProtection="1">
      <alignment horizontal="center"/>
      <protection locked="0"/>
    </xf>
    <xf numFmtId="0" fontId="9" fillId="3" borderId="63" xfId="3" applyFont="1" applyFill="1" applyBorder="1" applyAlignment="1" applyProtection="1">
      <alignment horizontal="center"/>
      <protection locked="0"/>
    </xf>
    <xf numFmtId="0" fontId="12" fillId="5" borderId="64" xfId="3" applyFont="1" applyFill="1" applyBorder="1" applyAlignment="1" applyProtection="1">
      <alignment horizontal="center"/>
      <protection locked="0"/>
    </xf>
    <xf numFmtId="0" fontId="12" fillId="5" borderId="47" xfId="3" applyFont="1" applyFill="1" applyBorder="1" applyAlignment="1" applyProtection="1">
      <alignment horizontal="center"/>
      <protection locked="0"/>
    </xf>
    <xf numFmtId="2" fontId="11" fillId="5" borderId="64" xfId="4" applyNumberFormat="1" applyFont="1" applyFill="1" applyBorder="1" applyAlignment="1" applyProtection="1">
      <alignment horizontal="center"/>
      <protection locked="0"/>
    </xf>
    <xf numFmtId="2" fontId="11" fillId="5" borderId="47" xfId="4" applyNumberFormat="1" applyFont="1" applyFill="1" applyBorder="1" applyAlignment="1" applyProtection="1">
      <alignment horizontal="center"/>
      <protection locked="0"/>
    </xf>
    <xf numFmtId="2" fontId="11" fillId="5" borderId="65" xfId="4" applyNumberFormat="1" applyFont="1" applyFill="1" applyBorder="1" applyAlignment="1" applyProtection="1">
      <alignment horizontal="center"/>
      <protection locked="0"/>
    </xf>
    <xf numFmtId="2" fontId="11" fillId="5" borderId="66" xfId="4" applyNumberFormat="1" applyFont="1" applyFill="1" applyBorder="1" applyAlignment="1" applyProtection="1">
      <alignment horizontal="center" wrapText="1"/>
      <protection locked="0"/>
    </xf>
    <xf numFmtId="0" fontId="9" fillId="7" borderId="35" xfId="3" applyFont="1" applyFill="1" applyBorder="1" applyAlignment="1" applyProtection="1">
      <alignment horizontal="center"/>
      <protection locked="0"/>
    </xf>
    <xf numFmtId="0" fontId="9" fillId="7" borderId="32" xfId="3" applyFont="1" applyFill="1" applyBorder="1" applyAlignment="1" applyProtection="1">
      <alignment horizontal="center"/>
      <protection locked="0"/>
    </xf>
    <xf numFmtId="2" fontId="9" fillId="0" borderId="32" xfId="4" applyNumberFormat="1" applyFont="1" applyFill="1" applyBorder="1" applyAlignment="1" applyProtection="1">
      <alignment horizontal="right"/>
      <protection locked="0"/>
    </xf>
    <xf numFmtId="2" fontId="9" fillId="4" borderId="43" xfId="4" applyNumberFormat="1" applyFont="1" applyFill="1" applyBorder="1" applyAlignment="1" applyProtection="1">
      <alignment horizontal="center"/>
      <protection locked="0"/>
    </xf>
    <xf numFmtId="2" fontId="9" fillId="4" borderId="32" xfId="4" applyNumberFormat="1" applyFont="1" applyFill="1" applyBorder="1" applyAlignment="1" applyProtection="1">
      <alignment horizontal="right"/>
      <protection locked="0"/>
    </xf>
    <xf numFmtId="2" fontId="9" fillId="4" borderId="37" xfId="4" applyNumberFormat="1" applyFont="1" applyFill="1" applyBorder="1" applyAlignment="1" applyProtection="1">
      <alignment horizontal="right"/>
      <protection locked="0"/>
    </xf>
    <xf numFmtId="2" fontId="9" fillId="0" borderId="12" xfId="4" applyNumberFormat="1" applyFont="1" applyFill="1" applyBorder="1" applyAlignment="1" applyProtection="1">
      <alignment horizontal="right"/>
      <protection locked="0"/>
    </xf>
    <xf numFmtId="2" fontId="9" fillId="4" borderId="44" xfId="4" applyNumberFormat="1" applyFont="1" applyFill="1" applyBorder="1" applyAlignment="1" applyProtection="1">
      <alignment horizontal="center"/>
      <protection locked="0"/>
    </xf>
    <xf numFmtId="2" fontId="9" fillId="4" borderId="12" xfId="4" applyNumberFormat="1" applyFont="1" applyFill="1" applyBorder="1" applyAlignment="1" applyProtection="1">
      <protection locked="0"/>
    </xf>
    <xf numFmtId="0" fontId="9" fillId="3" borderId="23" xfId="3" applyFont="1" applyFill="1" applyBorder="1" applyAlignment="1" applyProtection="1">
      <alignment horizontal="center"/>
      <protection locked="0"/>
    </xf>
    <xf numFmtId="2" fontId="9" fillId="3" borderId="22" xfId="4" applyNumberFormat="1" applyFont="1" applyFill="1" applyBorder="1" applyAlignment="1" applyProtection="1">
      <alignment horizontal="center"/>
      <protection locked="0"/>
    </xf>
    <xf numFmtId="2" fontId="9" fillId="0" borderId="19" xfId="4" applyNumberFormat="1" applyFont="1" applyFill="1" applyBorder="1" applyAlignment="1" applyProtection="1">
      <alignment horizontal="right"/>
      <protection locked="0"/>
    </xf>
    <xf numFmtId="2" fontId="9" fillId="4" borderId="45" xfId="4" applyNumberFormat="1" applyFont="1" applyFill="1" applyBorder="1" applyAlignment="1" applyProtection="1">
      <alignment horizontal="center"/>
      <protection locked="0"/>
    </xf>
    <xf numFmtId="2" fontId="9" fillId="4" borderId="19" xfId="4" applyNumberFormat="1" applyFont="1" applyFill="1" applyBorder="1" applyAlignment="1" applyProtection="1">
      <alignment horizontal="right"/>
      <protection locked="0"/>
    </xf>
    <xf numFmtId="2" fontId="9" fillId="4" borderId="24" xfId="4" applyNumberFormat="1" applyFont="1" applyFill="1" applyBorder="1" applyAlignment="1" applyProtection="1">
      <alignment horizontal="right"/>
      <protection locked="0"/>
    </xf>
    <xf numFmtId="0" fontId="8" fillId="2" borderId="71" xfId="3" applyFont="1" applyFill="1" applyBorder="1" applyAlignment="1" applyProtection="1">
      <alignment horizontal="left"/>
      <protection locked="0"/>
    </xf>
    <xf numFmtId="0" fontId="13" fillId="2" borderId="71" xfId="3" applyFont="1" applyFill="1" applyBorder="1" applyAlignment="1" applyProtection="1">
      <alignment horizontal="center"/>
      <protection locked="0"/>
    </xf>
    <xf numFmtId="2" fontId="8" fillId="2" borderId="72" xfId="4" applyNumberFormat="1" applyFont="1" applyFill="1" applyBorder="1" applyAlignment="1" applyProtection="1">
      <alignment horizontal="center"/>
      <protection locked="0"/>
    </xf>
    <xf numFmtId="176" fontId="8" fillId="2" borderId="73" xfId="4" applyNumberFormat="1" applyFont="1" applyFill="1" applyBorder="1" applyAlignment="1" applyProtection="1">
      <alignment horizontal="center"/>
      <protection locked="0"/>
    </xf>
    <xf numFmtId="2" fontId="8" fillId="2" borderId="74" xfId="4" applyNumberFormat="1" applyFont="1" applyFill="1" applyBorder="1" applyAlignment="1" applyProtection="1">
      <alignment horizontal="center"/>
      <protection locked="0"/>
    </xf>
    <xf numFmtId="2" fontId="8" fillId="2" borderId="75" xfId="4" applyNumberFormat="1" applyFont="1" applyFill="1" applyBorder="1" applyAlignment="1" applyProtection="1">
      <alignment horizontal="center"/>
      <protection locked="0"/>
    </xf>
    <xf numFmtId="0" fontId="9" fillId="5" borderId="26" xfId="3" applyFont="1" applyFill="1" applyBorder="1" applyAlignment="1" applyProtection="1">
      <alignment horizontal="center"/>
      <protection locked="0"/>
    </xf>
    <xf numFmtId="2" fontId="11" fillId="5" borderId="26" xfId="4" applyNumberFormat="1" applyFont="1" applyFill="1" applyBorder="1" applyAlignment="1" applyProtection="1">
      <alignment horizontal="center"/>
      <protection locked="0"/>
    </xf>
    <xf numFmtId="2" fontId="11" fillId="5" borderId="76" xfId="4" applyNumberFormat="1" applyFont="1" applyFill="1" applyBorder="1" applyAlignment="1" applyProtection="1">
      <alignment horizontal="center" wrapText="1"/>
      <protection locked="0"/>
    </xf>
    <xf numFmtId="2" fontId="9" fillId="4" borderId="12" xfId="4" applyNumberFormat="1" applyFont="1" applyFill="1" applyBorder="1" applyAlignment="1" applyProtection="1">
      <alignment horizontal="right"/>
      <protection locked="0"/>
    </xf>
    <xf numFmtId="2" fontId="9" fillId="4" borderId="16" xfId="4" applyNumberFormat="1" applyFont="1" applyFill="1" applyBorder="1" applyAlignment="1" applyProtection="1">
      <alignment horizontal="right"/>
      <protection locked="0"/>
    </xf>
    <xf numFmtId="0" fontId="9" fillId="3" borderId="79" xfId="3" applyFont="1" applyFill="1" applyBorder="1" applyAlignment="1" applyProtection="1">
      <alignment horizontal="center"/>
      <protection locked="0"/>
    </xf>
    <xf numFmtId="0" fontId="9" fillId="3" borderId="77" xfId="3" applyFont="1" applyFill="1" applyBorder="1" applyAlignment="1" applyProtection="1">
      <alignment horizontal="center"/>
      <protection locked="0"/>
    </xf>
    <xf numFmtId="2" fontId="9" fillId="3" borderId="80" xfId="4" applyNumberFormat="1" applyFont="1" applyFill="1" applyBorder="1" applyAlignment="1" applyProtection="1">
      <alignment horizontal="center"/>
      <protection locked="0"/>
    </xf>
    <xf numFmtId="176" fontId="9" fillId="0" borderId="77" xfId="4" applyNumberFormat="1" applyFont="1" applyFill="1" applyBorder="1" applyAlignment="1" applyProtection="1">
      <alignment horizontal="right"/>
      <protection locked="0"/>
    </xf>
    <xf numFmtId="2" fontId="9" fillId="4" borderId="81" xfId="4" applyNumberFormat="1" applyFont="1" applyFill="1" applyBorder="1" applyAlignment="1" applyProtection="1">
      <alignment horizontal="center"/>
      <protection locked="0"/>
    </xf>
    <xf numFmtId="2" fontId="9" fillId="4" borderId="77" xfId="4" applyNumberFormat="1" applyFont="1" applyFill="1" applyBorder="1" applyAlignment="1" applyProtection="1">
      <alignment horizontal="right"/>
      <protection locked="0"/>
    </xf>
    <xf numFmtId="2" fontId="9" fillId="4" borderId="82" xfId="4" applyNumberFormat="1" applyFont="1" applyFill="1" applyBorder="1" applyAlignment="1" applyProtection="1">
      <alignment horizontal="right"/>
      <protection locked="0"/>
    </xf>
    <xf numFmtId="0" fontId="9" fillId="3" borderId="68" xfId="3" applyFont="1" applyFill="1" applyBorder="1" applyAlignment="1" applyProtection="1">
      <alignment horizontal="center"/>
      <protection locked="0"/>
    </xf>
    <xf numFmtId="0" fontId="9" fillId="3" borderId="56" xfId="3" applyFont="1" applyFill="1" applyBorder="1" applyAlignment="1" applyProtection="1">
      <alignment horizontal="center"/>
      <protection locked="0"/>
    </xf>
    <xf numFmtId="2" fontId="9" fillId="3" borderId="83" xfId="4" applyNumberFormat="1" applyFont="1" applyFill="1" applyBorder="1" applyAlignment="1" applyProtection="1">
      <alignment horizontal="center"/>
      <protection locked="0"/>
    </xf>
    <xf numFmtId="2" fontId="9" fillId="4" borderId="84" xfId="4" applyNumberFormat="1" applyFont="1" applyFill="1" applyBorder="1" applyAlignment="1" applyProtection="1">
      <alignment horizontal="center"/>
      <protection locked="0"/>
    </xf>
    <xf numFmtId="2" fontId="9" fillId="4" borderId="56" xfId="4" applyNumberFormat="1" applyFont="1" applyFill="1" applyBorder="1" applyAlignment="1" applyProtection="1">
      <alignment horizontal="right"/>
      <protection locked="0"/>
    </xf>
    <xf numFmtId="2" fontId="9" fillId="4" borderId="85" xfId="4" applyNumberFormat="1" applyFont="1" applyFill="1" applyBorder="1" applyAlignment="1" applyProtection="1">
      <alignment horizontal="right"/>
      <protection locked="0"/>
    </xf>
    <xf numFmtId="0" fontId="9" fillId="5" borderId="87" xfId="3" applyFont="1" applyFill="1" applyBorder="1" applyAlignment="1" applyProtection="1">
      <alignment horizontal="center"/>
      <protection locked="0"/>
    </xf>
    <xf numFmtId="2" fontId="11" fillId="5" borderId="86" xfId="4" applyNumberFormat="1" applyFont="1" applyFill="1" applyBorder="1" applyAlignment="1" applyProtection="1">
      <alignment horizontal="center"/>
      <protection locked="0"/>
    </xf>
    <xf numFmtId="2" fontId="11" fillId="5" borderId="88" xfId="4" applyNumberFormat="1" applyFont="1" applyFill="1" applyBorder="1" applyAlignment="1" applyProtection="1">
      <alignment horizontal="center"/>
      <protection locked="0"/>
    </xf>
    <xf numFmtId="2" fontId="11" fillId="5" borderId="87" xfId="4" applyNumberFormat="1" applyFont="1" applyFill="1" applyBorder="1" applyAlignment="1" applyProtection="1">
      <alignment horizontal="center"/>
      <protection locked="0"/>
    </xf>
    <xf numFmtId="2" fontId="11" fillId="5" borderId="89" xfId="4" applyNumberFormat="1" applyFont="1" applyFill="1" applyBorder="1" applyAlignment="1" applyProtection="1">
      <alignment horizontal="center" wrapText="1"/>
      <protection locked="0"/>
    </xf>
    <xf numFmtId="0" fontId="9" fillId="3" borderId="93" xfId="3" applyFont="1" applyFill="1" applyBorder="1" applyAlignment="1" applyProtection="1">
      <alignment horizontal="center"/>
      <protection locked="0"/>
    </xf>
    <xf numFmtId="0" fontId="9" fillId="3" borderId="69" xfId="3" applyFont="1" applyFill="1" applyBorder="1" applyAlignment="1" applyProtection="1">
      <alignment horizontal="center"/>
      <protection locked="0"/>
    </xf>
    <xf numFmtId="2" fontId="9" fillId="3" borderId="91" xfId="4" applyNumberFormat="1" applyFont="1" applyFill="1" applyBorder="1" applyAlignment="1" applyProtection="1">
      <alignment horizontal="center"/>
      <protection locked="0"/>
    </xf>
    <xf numFmtId="176" fontId="9" fillId="0" borderId="95" xfId="4" applyNumberFormat="1" applyFont="1" applyFill="1" applyBorder="1" applyAlignment="1" applyProtection="1">
      <protection locked="0"/>
    </xf>
    <xf numFmtId="2" fontId="9" fillId="4" borderId="95" xfId="4" applyNumberFormat="1" applyFont="1" applyFill="1" applyBorder="1" applyAlignment="1" applyProtection="1">
      <alignment horizontal="right"/>
      <protection locked="0"/>
    </xf>
    <xf numFmtId="2" fontId="11" fillId="5" borderId="30" xfId="4" applyNumberFormat="1" applyFont="1" applyFill="1" applyBorder="1" applyAlignment="1" applyProtection="1">
      <alignment horizontal="center"/>
      <protection locked="0"/>
    </xf>
    <xf numFmtId="2" fontId="11" fillId="5" borderId="25" xfId="4" applyNumberFormat="1" applyFont="1" applyFill="1" applyBorder="1" applyAlignment="1" applyProtection="1">
      <alignment horizontal="center"/>
      <protection locked="0"/>
    </xf>
    <xf numFmtId="2" fontId="9" fillId="5" borderId="27" xfId="4" applyNumberFormat="1" applyFont="1" applyFill="1" applyBorder="1" applyAlignment="1" applyProtection="1">
      <alignment horizontal="right"/>
      <protection locked="0"/>
    </xf>
    <xf numFmtId="2" fontId="9" fillId="5" borderId="76" xfId="4" applyNumberFormat="1" applyFont="1" applyFill="1" applyBorder="1" applyAlignment="1" applyProtection="1">
      <alignment horizontal="right"/>
      <protection locked="0"/>
    </xf>
    <xf numFmtId="0" fontId="8" fillId="2" borderId="26" xfId="3" applyFont="1" applyFill="1" applyBorder="1" applyAlignment="1" applyProtection="1">
      <alignment horizontal="left"/>
      <protection locked="0"/>
    </xf>
    <xf numFmtId="0" fontId="13" fillId="2" borderId="26" xfId="3" applyFont="1" applyFill="1" applyBorder="1" applyAlignment="1" applyProtection="1">
      <alignment horizontal="center"/>
      <protection locked="0"/>
    </xf>
    <xf numFmtId="2" fontId="8" fillId="2" borderId="29" xfId="4" applyNumberFormat="1" applyFont="1" applyFill="1" applyBorder="1" applyAlignment="1" applyProtection="1">
      <alignment horizontal="center"/>
      <protection locked="0"/>
    </xf>
    <xf numFmtId="176" fontId="8" fillId="2" borderId="27" xfId="4" applyNumberFormat="1" applyFont="1" applyFill="1" applyBorder="1" applyAlignment="1" applyProtection="1">
      <alignment horizontal="center"/>
      <protection locked="0"/>
    </xf>
    <xf numFmtId="2" fontId="8" fillId="2" borderId="41" xfId="4" applyNumberFormat="1" applyFont="1" applyFill="1" applyBorder="1" applyAlignment="1" applyProtection="1">
      <alignment horizontal="center"/>
      <protection locked="0"/>
    </xf>
    <xf numFmtId="2" fontId="8" fillId="2" borderId="31" xfId="4" applyNumberFormat="1" applyFont="1" applyFill="1" applyBorder="1" applyAlignment="1" applyProtection="1">
      <alignment horizontal="center"/>
      <protection locked="0"/>
    </xf>
    <xf numFmtId="0" fontId="8" fillId="2" borderId="98" xfId="3" applyFont="1" applyFill="1" applyBorder="1" applyAlignment="1"/>
    <xf numFmtId="0" fontId="11" fillId="2" borderId="98" xfId="3" applyFont="1" applyFill="1" applyBorder="1" applyAlignment="1" applyProtection="1">
      <alignment horizontal="left"/>
      <protection locked="0"/>
    </xf>
    <xf numFmtId="0" fontId="14" fillId="2" borderId="99" xfId="3" applyFont="1" applyFill="1" applyBorder="1" applyAlignment="1" applyProtection="1">
      <alignment horizontal="center"/>
      <protection locked="0"/>
    </xf>
    <xf numFmtId="0" fontId="9" fillId="2" borderId="98" xfId="3" applyFont="1" applyFill="1" applyBorder="1" applyAlignment="1" applyProtection="1">
      <alignment horizontal="center"/>
      <protection locked="0"/>
    </xf>
    <xf numFmtId="2" fontId="9" fillId="2" borderId="100" xfId="4" applyNumberFormat="1" applyFont="1" applyFill="1" applyBorder="1" applyAlignment="1" applyProtection="1">
      <alignment horizontal="center"/>
      <protection locked="0"/>
    </xf>
    <xf numFmtId="2" fontId="9" fillId="2" borderId="101" xfId="4" applyNumberFormat="1" applyFont="1" applyFill="1" applyBorder="1" applyAlignment="1" applyProtection="1">
      <protection locked="0"/>
    </xf>
    <xf numFmtId="2" fontId="9" fillId="2" borderId="101" xfId="4" applyNumberFormat="1" applyFont="1" applyFill="1" applyBorder="1" applyAlignment="1" applyProtection="1">
      <alignment horizontal="center"/>
      <protection locked="0"/>
    </xf>
    <xf numFmtId="2" fontId="9" fillId="2" borderId="102" xfId="4" applyNumberFormat="1" applyFont="1" applyFill="1" applyBorder="1" applyAlignment="1" applyProtection="1">
      <alignment horizontal="right"/>
      <protection locked="0"/>
    </xf>
    <xf numFmtId="2" fontId="8" fillId="2" borderId="103" xfId="4" applyNumberFormat="1" applyFont="1" applyFill="1" applyBorder="1" applyAlignment="1" applyProtection="1">
      <alignment horizontal="center"/>
      <protection locked="0"/>
    </xf>
    <xf numFmtId="0" fontId="14" fillId="0" borderId="94" xfId="5" applyFont="1" applyFill="1" applyBorder="1" applyAlignment="1">
      <alignment horizontal="center"/>
    </xf>
    <xf numFmtId="0" fontId="9" fillId="0" borderId="47" xfId="5" applyFont="1" applyFill="1" applyBorder="1" applyAlignment="1">
      <alignment horizontal="center"/>
    </xf>
    <xf numFmtId="0" fontId="9" fillId="0" borderId="3" xfId="3" applyFont="1" applyBorder="1" applyAlignment="1" applyProtection="1">
      <alignment horizontal="center"/>
      <protection locked="0"/>
    </xf>
    <xf numFmtId="0" fontId="9" fillId="3" borderId="4" xfId="3" applyFont="1" applyFill="1" applyBorder="1" applyAlignment="1" applyProtection="1">
      <protection locked="0"/>
    </xf>
    <xf numFmtId="0" fontId="9" fillId="3" borderId="5" xfId="3" applyFont="1" applyFill="1" applyBorder="1" applyAlignment="1" applyProtection="1">
      <protection locked="0"/>
    </xf>
    <xf numFmtId="0" fontId="9" fillId="3" borderId="6" xfId="3" applyFont="1" applyFill="1" applyBorder="1" applyAlignment="1">
      <alignment horizontal="center"/>
    </xf>
    <xf numFmtId="0" fontId="9" fillId="2" borderId="10" xfId="3" applyFont="1" applyFill="1" applyBorder="1" applyAlignment="1"/>
    <xf numFmtId="0" fontId="9" fillId="2" borderId="11" xfId="3" applyFont="1" applyFill="1" applyBorder="1" applyAlignment="1"/>
    <xf numFmtId="0" fontId="9" fillId="0" borderId="0" xfId="3" applyFont="1" applyBorder="1" applyAlignment="1" applyProtection="1">
      <alignment horizontal="center"/>
      <protection locked="0"/>
    </xf>
    <xf numFmtId="0" fontId="9" fillId="3" borderId="12" xfId="3" applyFont="1" applyFill="1" applyBorder="1" applyAlignment="1" applyProtection="1">
      <protection locked="0"/>
    </xf>
    <xf numFmtId="0" fontId="9" fillId="3" borderId="13" xfId="3" applyFont="1" applyFill="1" applyBorder="1" applyAlignment="1" applyProtection="1">
      <protection locked="0"/>
    </xf>
    <xf numFmtId="0" fontId="9" fillId="3" borderId="14" xfId="3" applyFont="1" applyFill="1" applyBorder="1" applyAlignment="1" applyProtection="1">
      <alignment horizontal="center"/>
      <protection locked="0"/>
    </xf>
    <xf numFmtId="0" fontId="9" fillId="0" borderId="17" xfId="3" applyFont="1" applyBorder="1" applyAlignment="1" applyProtection="1">
      <alignment horizontal="center"/>
      <protection locked="0"/>
    </xf>
    <xf numFmtId="0" fontId="9" fillId="3" borderId="18" xfId="3" applyFont="1" applyFill="1" applyBorder="1" applyAlignment="1" applyProtection="1">
      <alignment horizontal="center"/>
      <protection locked="0"/>
    </xf>
    <xf numFmtId="0" fontId="9" fillId="3" borderId="19" xfId="3" applyFont="1" applyFill="1" applyBorder="1" applyAlignment="1" applyProtection="1">
      <protection locked="0"/>
    </xf>
    <xf numFmtId="0" fontId="9" fillId="3" borderId="20" xfId="3" applyFont="1" applyFill="1" applyBorder="1" applyAlignment="1" applyProtection="1">
      <protection locked="0"/>
    </xf>
    <xf numFmtId="0" fontId="9" fillId="3" borderId="21" xfId="3" applyFont="1" applyFill="1" applyBorder="1" applyAlignment="1" applyProtection="1">
      <alignment horizontal="center"/>
      <protection locked="0"/>
    </xf>
    <xf numFmtId="0" fontId="11" fillId="5" borderId="28" xfId="3" applyFont="1" applyFill="1" applyBorder="1" applyAlignment="1" applyProtection="1">
      <alignment horizontal="center"/>
      <protection locked="0"/>
    </xf>
    <xf numFmtId="0" fontId="9" fillId="3" borderId="32" xfId="3" applyFont="1" applyFill="1" applyBorder="1" applyAlignment="1" applyProtection="1">
      <protection locked="0"/>
    </xf>
    <xf numFmtId="0" fontId="9" fillId="3" borderId="33" xfId="3" applyFont="1" applyFill="1" applyBorder="1" applyAlignment="1" applyProtection="1">
      <protection locked="0"/>
    </xf>
    <xf numFmtId="0" fontId="9" fillId="3" borderId="34" xfId="3" applyFont="1" applyFill="1" applyBorder="1" applyAlignment="1" applyProtection="1">
      <alignment horizontal="center"/>
      <protection locked="0"/>
    </xf>
    <xf numFmtId="0" fontId="9" fillId="0" borderId="39" xfId="3" applyFont="1" applyBorder="1" applyAlignment="1" applyProtection="1">
      <alignment horizontal="center"/>
      <protection locked="0"/>
    </xf>
    <xf numFmtId="0" fontId="9" fillId="0" borderId="40" xfId="3" applyFont="1" applyBorder="1" applyAlignment="1" applyProtection="1">
      <alignment horizontal="center"/>
      <protection locked="0"/>
    </xf>
    <xf numFmtId="0" fontId="15" fillId="3" borderId="12" xfId="3" applyFont="1" applyFill="1" applyBorder="1" applyAlignment="1" applyProtection="1">
      <protection locked="0"/>
    </xf>
    <xf numFmtId="0" fontId="9" fillId="0" borderId="42" xfId="3" applyFont="1" applyBorder="1" applyAlignment="1" applyProtection="1">
      <alignment horizontal="center"/>
      <protection locked="0"/>
    </xf>
    <xf numFmtId="0" fontId="9" fillId="0" borderId="46" xfId="3" applyFont="1" applyBorder="1" applyAlignment="1" applyProtection="1">
      <alignment horizontal="left"/>
      <protection locked="0"/>
    </xf>
    <xf numFmtId="0" fontId="9" fillId="3" borderId="47" xfId="3" applyFont="1" applyFill="1" applyBorder="1" applyAlignment="1" applyProtection="1">
      <protection locked="0"/>
    </xf>
    <xf numFmtId="0" fontId="9" fillId="3" borderId="48" xfId="3" applyFont="1" applyFill="1" applyBorder="1" applyAlignment="1" applyProtection="1">
      <alignment horizontal="right"/>
      <protection locked="0"/>
    </xf>
    <xf numFmtId="0" fontId="9" fillId="3" borderId="2" xfId="3" applyFont="1" applyFill="1" applyBorder="1" applyAlignment="1" applyProtection="1">
      <alignment horizontal="center"/>
      <protection locked="0"/>
    </xf>
    <xf numFmtId="0" fontId="9" fillId="0" borderId="17" xfId="3" applyFont="1" applyBorder="1" applyAlignment="1" applyProtection="1">
      <alignment horizontal="left"/>
      <protection locked="0"/>
    </xf>
    <xf numFmtId="0" fontId="9" fillId="3" borderId="49" xfId="3" applyFont="1" applyFill="1" applyBorder="1" applyAlignment="1" applyProtection="1">
      <protection locked="0"/>
    </xf>
    <xf numFmtId="0" fontId="9" fillId="3" borderId="39" xfId="3" applyFont="1" applyFill="1" applyBorder="1" applyAlignment="1" applyProtection="1">
      <alignment horizontal="right"/>
      <protection locked="0"/>
    </xf>
    <xf numFmtId="0" fontId="9" fillId="3" borderId="50" xfId="3" applyFont="1" applyFill="1" applyBorder="1" applyAlignment="1" applyProtection="1">
      <alignment horizontal="center"/>
      <protection locked="0"/>
    </xf>
    <xf numFmtId="0" fontId="9" fillId="3" borderId="56" xfId="3" applyFont="1" applyFill="1" applyBorder="1" applyAlignment="1" applyProtection="1">
      <protection locked="0"/>
    </xf>
    <xf numFmtId="0" fontId="9" fillId="3" borderId="0" xfId="3" applyFont="1" applyFill="1" applyBorder="1" applyAlignment="1" applyProtection="1">
      <alignment horizontal="right"/>
      <protection locked="0"/>
    </xf>
    <xf numFmtId="0" fontId="9" fillId="3" borderId="11" xfId="3" applyFont="1" applyFill="1" applyBorder="1" applyAlignment="1" applyProtection="1">
      <alignment horizontal="center"/>
      <protection locked="0"/>
    </xf>
    <xf numFmtId="0" fontId="9" fillId="3" borderId="61" xfId="3" applyFont="1" applyFill="1" applyBorder="1" applyAlignment="1" applyProtection="1">
      <alignment horizontal="right"/>
      <protection locked="0"/>
    </xf>
    <xf numFmtId="0" fontId="9" fillId="3" borderId="62" xfId="3" applyFont="1" applyFill="1" applyBorder="1" applyAlignment="1" applyProtection="1">
      <alignment horizontal="center"/>
      <protection locked="0"/>
    </xf>
    <xf numFmtId="0" fontId="9" fillId="0" borderId="48" xfId="3" applyFont="1" applyBorder="1" applyAlignment="1" applyProtection="1">
      <alignment horizontal="center"/>
      <protection locked="0"/>
    </xf>
    <xf numFmtId="0" fontId="9" fillId="7" borderId="43" xfId="3" applyFont="1" applyFill="1" applyBorder="1" applyAlignment="1" applyProtection="1">
      <alignment horizontal="center"/>
      <protection locked="0"/>
    </xf>
    <xf numFmtId="0" fontId="15" fillId="7" borderId="32" xfId="3" applyFont="1" applyFill="1" applyBorder="1" applyAlignment="1" applyProtection="1">
      <protection locked="0"/>
    </xf>
    <xf numFmtId="0" fontId="9" fillId="7" borderId="33" xfId="3" applyFont="1" applyFill="1" applyBorder="1" applyAlignment="1" applyProtection="1">
      <alignment horizontal="right"/>
      <protection locked="0"/>
    </xf>
    <xf numFmtId="0" fontId="9" fillId="7" borderId="34" xfId="3" applyFont="1" applyFill="1" applyBorder="1" applyAlignment="1" applyProtection="1">
      <alignment horizontal="center"/>
      <protection locked="0"/>
    </xf>
    <xf numFmtId="0" fontId="9" fillId="2" borderId="68" xfId="3" applyFont="1" applyFill="1" applyBorder="1" applyAlignment="1"/>
    <xf numFmtId="0" fontId="9" fillId="3" borderId="44" xfId="3" applyFont="1" applyFill="1" applyBorder="1" applyAlignment="1" applyProtection="1">
      <alignment horizontal="center"/>
      <protection locked="0"/>
    </xf>
    <xf numFmtId="0" fontId="9" fillId="3" borderId="13" xfId="3" applyFont="1" applyFill="1" applyBorder="1" applyAlignment="1" applyProtection="1">
      <alignment horizontal="right"/>
      <protection locked="0"/>
    </xf>
    <xf numFmtId="0" fontId="9" fillId="3" borderId="45" xfId="3" applyFont="1" applyFill="1" applyBorder="1" applyAlignment="1" applyProtection="1">
      <alignment horizontal="center"/>
      <protection locked="0"/>
    </xf>
    <xf numFmtId="0" fontId="15" fillId="3" borderId="19" xfId="3" applyFont="1" applyFill="1" applyBorder="1" applyAlignment="1" applyProtection="1">
      <protection locked="0"/>
    </xf>
    <xf numFmtId="0" fontId="9" fillId="3" borderId="20" xfId="3" applyFont="1" applyFill="1" applyBorder="1" applyAlignment="1" applyProtection="1">
      <alignment horizontal="right"/>
      <protection locked="0"/>
    </xf>
    <xf numFmtId="0" fontId="9" fillId="2" borderId="70" xfId="3" applyFont="1" applyFill="1" applyBorder="1" applyAlignment="1"/>
    <xf numFmtId="0" fontId="9" fillId="2" borderId="67" xfId="3" applyFont="1" applyFill="1" applyBorder="1" applyAlignment="1"/>
    <xf numFmtId="0" fontId="9" fillId="3" borderId="33" xfId="3" applyFont="1" applyFill="1" applyBorder="1" applyAlignment="1" applyProtection="1">
      <alignment horizontal="right"/>
      <protection locked="0"/>
    </xf>
    <xf numFmtId="0" fontId="9" fillId="0" borderId="68" xfId="3" applyFont="1" applyBorder="1" applyAlignment="1" applyProtection="1">
      <alignment horizontal="left"/>
      <protection locked="0"/>
    </xf>
    <xf numFmtId="0" fontId="9" fillId="3" borderId="77" xfId="3" applyFont="1" applyFill="1" applyBorder="1" applyAlignment="1" applyProtection="1">
      <protection locked="0"/>
    </xf>
    <xf numFmtId="0" fontId="9" fillId="3" borderId="78" xfId="3" applyFont="1" applyFill="1" applyBorder="1" applyAlignment="1" applyProtection="1">
      <alignment horizontal="right"/>
      <protection locked="0"/>
    </xf>
    <xf numFmtId="176" fontId="9" fillId="0" borderId="19" xfId="4" applyNumberFormat="1" applyFont="1" applyFill="1" applyBorder="1" applyAlignment="1" applyProtection="1">
      <alignment horizontal="center"/>
      <protection locked="0"/>
    </xf>
    <xf numFmtId="0" fontId="9" fillId="2" borderId="63" xfId="3" applyFont="1" applyFill="1" applyBorder="1" applyAlignment="1"/>
    <xf numFmtId="0" fontId="9" fillId="3" borderId="91" xfId="3" applyFont="1" applyFill="1" applyBorder="1" applyAlignment="1" applyProtection="1">
      <alignment horizontal="center"/>
      <protection locked="0"/>
    </xf>
    <xf numFmtId="0" fontId="15" fillId="3" borderId="69" xfId="3" applyFont="1" applyFill="1" applyBorder="1" applyAlignment="1" applyProtection="1">
      <protection locked="0"/>
    </xf>
    <xf numFmtId="0" fontId="9" fillId="3" borderId="42" xfId="3" applyFont="1" applyFill="1" applyBorder="1" applyAlignment="1" applyProtection="1">
      <protection locked="0"/>
    </xf>
    <xf numFmtId="0" fontId="9" fillId="3" borderId="92" xfId="3" applyFont="1" applyFill="1" applyBorder="1" applyAlignment="1" applyProtection="1">
      <alignment horizontal="center"/>
      <protection locked="0"/>
    </xf>
    <xf numFmtId="0" fontId="9" fillId="4" borderId="90" xfId="3" applyFont="1" applyFill="1" applyBorder="1" applyAlignment="1"/>
    <xf numFmtId="0" fontId="9" fillId="4" borderId="94" xfId="3" applyFont="1" applyFill="1" applyBorder="1" applyAlignment="1"/>
    <xf numFmtId="0" fontId="9" fillId="2" borderId="96" xfId="3" applyFont="1" applyFill="1" applyBorder="1" applyAlignment="1"/>
    <xf numFmtId="0" fontId="9" fillId="2" borderId="97" xfId="3" applyFont="1" applyFill="1" applyBorder="1" applyAlignment="1"/>
    <xf numFmtId="0" fontId="14" fillId="0" borderId="63" xfId="3" applyFont="1" applyFill="1" applyBorder="1" applyAlignment="1" applyProtection="1">
      <alignment horizontal="centerContinuous"/>
      <protection locked="0"/>
    </xf>
    <xf numFmtId="0" fontId="14" fillId="0" borderId="39" xfId="3" applyFont="1" applyFill="1" applyBorder="1" applyAlignment="1" applyProtection="1">
      <alignment horizontal="centerContinuous"/>
      <protection locked="0"/>
    </xf>
    <xf numFmtId="0" fontId="14" fillId="0" borderId="88" xfId="3" applyFont="1" applyFill="1" applyBorder="1" applyAlignment="1" applyProtection="1">
      <alignment horizontal="centerContinuous"/>
      <protection locked="0"/>
    </xf>
    <xf numFmtId="0" fontId="14" fillId="0" borderId="87" xfId="3" applyFont="1" applyFill="1" applyBorder="1" applyAlignment="1" applyProtection="1">
      <alignment horizontal="centerContinuous"/>
      <protection locked="0"/>
    </xf>
    <xf numFmtId="0" fontId="14" fillId="0" borderId="96" xfId="5" applyFont="1" applyFill="1" applyBorder="1" applyAlignment="1">
      <alignment horizontal="centerContinuous"/>
    </xf>
    <xf numFmtId="0" fontId="14" fillId="0" borderId="94" xfId="5" applyFont="1" applyFill="1" applyBorder="1" applyAlignment="1">
      <alignment horizontal="centerContinuous"/>
    </xf>
    <xf numFmtId="0" fontId="9" fillId="0" borderId="64" xfId="5" applyFont="1" applyBorder="1" applyAlignment="1">
      <alignment horizontal="centerContinuous"/>
    </xf>
    <xf numFmtId="0" fontId="9" fillId="0" borderId="47" xfId="5" applyFont="1" applyBorder="1" applyAlignment="1">
      <alignment horizontal="centerContinuous"/>
    </xf>
    <xf numFmtId="0" fontId="9" fillId="0" borderId="67" xfId="5" applyFont="1" applyFill="1" applyBorder="1" applyAlignment="1">
      <alignment horizontal="centerContinuous"/>
    </xf>
    <xf numFmtId="0" fontId="9" fillId="0" borderId="47" xfId="5" applyFont="1" applyFill="1" applyBorder="1" applyAlignment="1">
      <alignment horizontal="centerContinuous"/>
    </xf>
    <xf numFmtId="2" fontId="9" fillId="7" borderId="35" xfId="4" applyNumberFormat="1" applyFont="1" applyFill="1" applyBorder="1" applyAlignment="1" applyProtection="1">
      <alignment horizontal="center"/>
      <protection locked="0"/>
    </xf>
    <xf numFmtId="0" fontId="8" fillId="2" borderId="71" xfId="3" applyFont="1" applyFill="1" applyBorder="1" applyAlignment="1" applyProtection="1">
      <alignment horizontal="centerContinuous"/>
      <protection locked="0"/>
    </xf>
    <xf numFmtId="0" fontId="13" fillId="2" borderId="71" xfId="3" applyFont="1" applyFill="1" applyBorder="1" applyAlignment="1" applyProtection="1">
      <alignment horizontal="centerContinuous"/>
      <protection locked="0"/>
    </xf>
    <xf numFmtId="0" fontId="8" fillId="2" borderId="26" xfId="3" applyFont="1" applyFill="1" applyBorder="1" applyAlignment="1" applyProtection="1">
      <alignment horizontal="centerContinuous"/>
      <protection locked="0"/>
    </xf>
    <xf numFmtId="0" fontId="13" fillId="2" borderId="26" xfId="3" applyFont="1" applyFill="1" applyBorder="1" applyAlignment="1" applyProtection="1">
      <alignment horizontal="centerContinuous"/>
      <protection locked="0"/>
    </xf>
    <xf numFmtId="0" fontId="11" fillId="2" borderId="98" xfId="3" applyFont="1" applyFill="1" applyBorder="1" applyAlignment="1" applyProtection="1">
      <alignment horizontal="centerContinuous"/>
      <protection locked="0"/>
    </xf>
    <xf numFmtId="0" fontId="12" fillId="2" borderId="98" xfId="3" applyFont="1" applyFill="1" applyBorder="1" applyAlignment="1" applyProtection="1">
      <alignment horizontal="centerContinuous"/>
      <protection locked="0"/>
    </xf>
    <xf numFmtId="0" fontId="9" fillId="3" borderId="110" xfId="3" applyFont="1" applyFill="1" applyBorder="1" applyAlignment="1" applyProtection="1">
      <alignment horizontal="center"/>
      <protection locked="0"/>
    </xf>
    <xf numFmtId="1" fontId="9" fillId="0" borderId="32" xfId="4" applyNumberFormat="1" applyFont="1" applyFill="1" applyBorder="1" applyAlignment="1" applyProtection="1">
      <protection locked="0"/>
    </xf>
    <xf numFmtId="176" fontId="9" fillId="0" borderId="58" xfId="4" applyNumberFormat="1" applyFont="1" applyFill="1" applyBorder="1" applyAlignment="1" applyProtection="1">
      <protection locked="0"/>
    </xf>
    <xf numFmtId="0" fontId="15" fillId="0" borderId="0" xfId="0" applyFont="1" applyAlignment="1"/>
    <xf numFmtId="0" fontId="15" fillId="0" borderId="111" xfId="0" applyFont="1" applyBorder="1" applyAlignment="1"/>
    <xf numFmtId="0" fontId="2" fillId="0" borderId="2" xfId="5" applyFont="1" applyBorder="1" applyAlignment="1">
      <alignment horizontal="center"/>
    </xf>
    <xf numFmtId="0" fontId="9" fillId="0" borderId="67" xfId="3" applyFont="1" applyBorder="1" applyAlignment="1" applyProtection="1">
      <alignment horizontal="center" vertical="center"/>
      <protection locked="0"/>
    </xf>
    <xf numFmtId="0" fontId="9" fillId="0" borderId="48" xfId="3" applyFont="1" applyBorder="1" applyAlignment="1" applyProtection="1">
      <alignment horizontal="center" vertical="center"/>
      <protection locked="0"/>
    </xf>
    <xf numFmtId="0" fontId="9" fillId="0" borderId="68" xfId="3" applyFont="1" applyBorder="1" applyAlignment="1" applyProtection="1">
      <alignment horizontal="center" vertical="center"/>
      <protection locked="0"/>
    </xf>
    <xf numFmtId="0" fontId="9" fillId="0" borderId="0" xfId="3" applyFont="1" applyBorder="1" applyAlignment="1" applyProtection="1">
      <alignment horizontal="center" vertical="center"/>
      <protection locked="0"/>
    </xf>
    <xf numFmtId="0" fontId="14" fillId="6" borderId="30" xfId="4" applyFont="1" applyFill="1" applyBorder="1" applyAlignment="1" applyProtection="1">
      <alignment horizontal="center" vertical="center" wrapText="1"/>
      <protection locked="0"/>
    </xf>
    <xf numFmtId="0" fontId="14" fillId="6" borderId="26" xfId="4" applyFont="1" applyFill="1" applyBorder="1" applyAlignment="1" applyProtection="1">
      <alignment horizontal="center" vertical="center" wrapText="1"/>
      <protection locked="0"/>
    </xf>
    <xf numFmtId="0" fontId="14" fillId="6" borderId="76" xfId="4" applyFont="1" applyFill="1" applyBorder="1" applyAlignment="1" applyProtection="1">
      <alignment horizontal="center" vertical="center" wrapText="1"/>
      <protection locked="0"/>
    </xf>
    <xf numFmtId="176" fontId="7" fillId="8" borderId="66" xfId="4" applyNumberFormat="1" applyFont="1" applyFill="1" applyBorder="1" applyAlignment="1" applyProtection="1">
      <alignment horizontal="center" vertical="center" wrapText="1"/>
      <protection locked="0"/>
    </xf>
    <xf numFmtId="176" fontId="8" fillId="8" borderId="85" xfId="4" applyNumberFormat="1" applyFont="1" applyFill="1" applyBorder="1" applyAlignment="1" applyProtection="1">
      <alignment horizontal="center" vertical="center" wrapText="1"/>
      <protection locked="0"/>
    </xf>
    <xf numFmtId="176" fontId="8" fillId="8" borderId="103" xfId="4" applyNumberFormat="1" applyFont="1" applyFill="1" applyBorder="1" applyAlignment="1" applyProtection="1">
      <alignment horizontal="center" vertical="center" wrapText="1"/>
      <protection locked="0"/>
    </xf>
    <xf numFmtId="0" fontId="15" fillId="0" borderId="30" xfId="3" applyFont="1" applyBorder="1" applyAlignment="1" applyProtection="1">
      <alignment horizontal="center" vertical="center"/>
      <protection locked="0"/>
    </xf>
    <xf numFmtId="0" fontId="15" fillId="0" borderId="25" xfId="3" applyFont="1" applyBorder="1" applyAlignment="1" applyProtection="1">
      <alignment horizontal="center" vertical="center"/>
      <protection locked="0"/>
    </xf>
    <xf numFmtId="0" fontId="16" fillId="0" borderId="67" xfId="3" applyFont="1" applyFill="1" applyBorder="1" applyAlignment="1">
      <alignment horizontal="center" vertical="center"/>
    </xf>
    <xf numFmtId="0" fontId="16" fillId="0" borderId="104" xfId="3" applyFont="1" applyFill="1" applyBorder="1" applyAlignment="1">
      <alignment horizontal="center" vertical="center"/>
    </xf>
    <xf numFmtId="0" fontId="16" fillId="0" borderId="70" xfId="3" applyFont="1" applyFill="1" applyBorder="1" applyAlignment="1">
      <alignment horizontal="center" vertical="center"/>
    </xf>
    <xf numFmtId="0" fontId="16" fillId="0" borderId="105" xfId="3" applyFont="1" applyFill="1" applyBorder="1" applyAlignment="1">
      <alignment horizontal="center" vertical="center"/>
    </xf>
    <xf numFmtId="0" fontId="11" fillId="5" borderId="30" xfId="3" applyFont="1" applyFill="1" applyBorder="1" applyAlignment="1" applyProtection="1">
      <alignment horizontal="center" vertical="center"/>
      <protection locked="0"/>
    </xf>
    <xf numFmtId="0" fontId="11" fillId="5" borderId="26" xfId="3" applyFont="1" applyFill="1" applyBorder="1" applyAlignment="1" applyProtection="1">
      <alignment horizontal="center" vertical="center"/>
      <protection locked="0"/>
    </xf>
    <xf numFmtId="0" fontId="11" fillId="5" borderId="76" xfId="3" applyFont="1" applyFill="1" applyBorder="1" applyAlignment="1" applyProtection="1">
      <alignment horizontal="center" vertical="center"/>
      <protection locked="0"/>
    </xf>
    <xf numFmtId="0" fontId="11" fillId="5" borderId="106" xfId="3" applyFont="1" applyFill="1" applyBorder="1" applyAlignment="1" applyProtection="1">
      <alignment horizontal="center" vertical="center"/>
      <protection locked="0"/>
    </xf>
    <xf numFmtId="0" fontId="11" fillId="5" borderId="87" xfId="3" applyFont="1" applyFill="1" applyBorder="1" applyAlignment="1" applyProtection="1">
      <alignment horizontal="center" vertical="center"/>
      <protection locked="0"/>
    </xf>
    <xf numFmtId="0" fontId="9" fillId="0" borderId="108" xfId="3" applyFont="1" applyBorder="1" applyAlignment="1" applyProtection="1">
      <alignment horizontal="center" vertical="center"/>
      <protection locked="0"/>
    </xf>
    <xf numFmtId="0" fontId="9" fillId="0" borderId="3" xfId="3" applyFont="1" applyBorder="1" applyAlignment="1" applyProtection="1">
      <alignment horizontal="center" vertical="center"/>
      <protection locked="0"/>
    </xf>
    <xf numFmtId="0" fontId="9" fillId="0" borderId="70" xfId="3" applyFont="1" applyBorder="1" applyAlignment="1" applyProtection="1">
      <alignment horizontal="center" vertical="center"/>
      <protection locked="0"/>
    </xf>
    <xf numFmtId="0" fontId="9" fillId="0" borderId="71" xfId="3" applyFont="1" applyBorder="1" applyAlignment="1" applyProtection="1">
      <alignment horizontal="center" vertical="center"/>
      <protection locked="0"/>
    </xf>
    <xf numFmtId="0" fontId="0" fillId="0" borderId="6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0" fillId="0" borderId="104" xfId="0" applyBorder="1" applyAlignment="1">
      <alignment horizontal="left" vertical="center" wrapText="1"/>
    </xf>
    <xf numFmtId="0" fontId="0" fillId="0" borderId="68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111" xfId="0" applyBorder="1" applyAlignment="1">
      <alignment horizontal="left" vertical="center" wrapText="1"/>
    </xf>
    <xf numFmtId="0" fontId="0" fillId="0" borderId="70" xfId="0" applyBorder="1" applyAlignment="1">
      <alignment horizontal="left" vertical="center" wrapText="1"/>
    </xf>
    <xf numFmtId="0" fontId="0" fillId="0" borderId="71" xfId="0" applyBorder="1" applyAlignment="1">
      <alignment horizontal="left" vertical="center" wrapText="1"/>
    </xf>
    <xf numFmtId="0" fontId="0" fillId="0" borderId="105" xfId="0" applyBorder="1" applyAlignment="1">
      <alignment horizontal="left" vertical="center" wrapText="1"/>
    </xf>
    <xf numFmtId="0" fontId="0" fillId="9" borderId="114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15" xfId="0" applyFill="1" applyBorder="1" applyAlignment="1">
      <alignment horizontal="center" vertical="center"/>
    </xf>
    <xf numFmtId="0" fontId="19" fillId="9" borderId="86" xfId="0" applyFont="1" applyFill="1" applyBorder="1" applyAlignment="1">
      <alignment horizontal="center" vertical="center"/>
    </xf>
    <xf numFmtId="0" fontId="0" fillId="9" borderId="112" xfId="0" applyFill="1" applyBorder="1" applyAlignment="1">
      <alignment horizontal="center" vertical="center"/>
    </xf>
    <xf numFmtId="0" fontId="0" fillId="9" borderId="113" xfId="0" applyFill="1" applyBorder="1" applyAlignment="1">
      <alignment horizontal="center" vertical="center"/>
    </xf>
    <xf numFmtId="0" fontId="21" fillId="9" borderId="116" xfId="0" applyFont="1" applyFill="1" applyBorder="1" applyAlignment="1">
      <alignment horizontal="center"/>
    </xf>
    <xf numFmtId="0" fontId="0" fillId="9" borderId="110" xfId="0" applyFill="1" applyBorder="1" applyAlignment="1">
      <alignment horizontal="center"/>
    </xf>
    <xf numFmtId="0" fontId="0" fillId="9" borderId="117" xfId="0" applyFill="1" applyBorder="1" applyAlignment="1">
      <alignment horizontal="center"/>
    </xf>
    <xf numFmtId="0" fontId="9" fillId="0" borderId="96" xfId="3" applyFont="1" applyBorder="1" applyAlignment="1" applyProtection="1">
      <alignment horizontal="center" vertical="center"/>
      <protection locked="0"/>
    </xf>
    <xf numFmtId="0" fontId="9" fillId="0" borderId="109" xfId="3" applyFont="1" applyBorder="1" applyAlignment="1" applyProtection="1">
      <alignment horizontal="center" vertical="center"/>
      <protection locked="0"/>
    </xf>
    <xf numFmtId="0" fontId="9" fillId="0" borderId="63" xfId="3" applyFont="1" applyBorder="1" applyAlignment="1" applyProtection="1">
      <alignment horizontal="center" vertical="center"/>
      <protection locked="0"/>
    </xf>
    <xf numFmtId="0" fontId="9" fillId="0" borderId="39" xfId="3" applyFont="1" applyBorder="1" applyAlignment="1" applyProtection="1">
      <alignment horizontal="center" vertical="center"/>
      <protection locked="0"/>
    </xf>
    <xf numFmtId="0" fontId="9" fillId="0" borderId="90" xfId="3" applyFont="1" applyBorder="1" applyAlignment="1" applyProtection="1">
      <alignment horizontal="center" vertical="center"/>
      <protection locked="0"/>
    </xf>
    <xf numFmtId="0" fontId="9" fillId="0" borderId="42" xfId="3" applyFont="1" applyBorder="1" applyAlignment="1" applyProtection="1">
      <alignment horizontal="center" vertical="center"/>
      <protection locked="0"/>
    </xf>
    <xf numFmtId="0" fontId="9" fillId="0" borderId="69" xfId="3" applyFont="1" applyBorder="1" applyAlignment="1" applyProtection="1">
      <alignment horizontal="center" vertical="center"/>
      <protection locked="0"/>
    </xf>
    <xf numFmtId="0" fontId="9" fillId="0" borderId="46" xfId="3" applyFont="1" applyBorder="1" applyAlignment="1" applyProtection="1">
      <alignment horizontal="center" vertical="center"/>
      <protection locked="0"/>
    </xf>
    <xf numFmtId="0" fontId="9" fillId="0" borderId="56" xfId="3" applyFont="1" applyBorder="1" applyAlignment="1" applyProtection="1">
      <alignment horizontal="center" vertical="center"/>
      <protection locked="0"/>
    </xf>
    <xf numFmtId="0" fontId="9" fillId="0" borderId="17" xfId="3" applyFont="1" applyBorder="1" applyAlignment="1" applyProtection="1">
      <alignment horizontal="center" vertical="center"/>
      <protection locked="0"/>
    </xf>
    <xf numFmtId="0" fontId="9" fillId="0" borderId="49" xfId="3" applyFont="1" applyBorder="1" applyAlignment="1" applyProtection="1">
      <alignment horizontal="center" vertical="center"/>
      <protection locked="0"/>
    </xf>
    <xf numFmtId="0" fontId="9" fillId="0" borderId="40" xfId="3" applyFont="1" applyBorder="1" applyAlignment="1" applyProtection="1">
      <alignment horizontal="center" vertical="center"/>
      <protection locked="0"/>
    </xf>
    <xf numFmtId="0" fontId="15" fillId="0" borderId="106" xfId="3" applyFont="1" applyBorder="1" applyAlignment="1" applyProtection="1">
      <alignment horizontal="center" vertical="center"/>
      <protection locked="0"/>
    </xf>
    <xf numFmtId="0" fontId="15" fillId="0" borderId="107" xfId="3" applyFont="1" applyBorder="1" applyAlignment="1" applyProtection="1">
      <alignment horizontal="center" vertical="center"/>
      <protection locked="0"/>
    </xf>
    <xf numFmtId="0" fontId="9" fillId="0" borderId="30" xfId="3" applyFont="1" applyBorder="1" applyAlignment="1" applyProtection="1">
      <alignment horizontal="center" vertical="center"/>
      <protection locked="0"/>
    </xf>
    <xf numFmtId="0" fontId="9" fillId="0" borderId="26" xfId="3" applyFont="1" applyBorder="1" applyAlignment="1" applyProtection="1">
      <alignment horizontal="center" vertical="center"/>
      <protection locked="0"/>
    </xf>
    <xf numFmtId="0" fontId="8" fillId="6" borderId="30" xfId="3" applyFont="1" applyFill="1" applyBorder="1" applyAlignment="1" applyProtection="1">
      <alignment horizontal="center"/>
      <protection locked="0"/>
    </xf>
    <xf numFmtId="0" fontId="8" fillId="6" borderId="76" xfId="3" applyFont="1" applyFill="1" applyBorder="1" applyAlignment="1" applyProtection="1">
      <alignment horizontal="center"/>
      <protection locked="0"/>
    </xf>
  </cellXfs>
  <cellStyles count="7">
    <cellStyle name="標準_RHD" xfId="5"/>
    <cellStyle name="標準_国内ODB" xfId="3"/>
    <cellStyle name="標準_国内ODB_RHD (2)" xfId="4"/>
    <cellStyle name="常规" xfId="0" builtinId="0"/>
    <cellStyle name="常规 2" xfId="1"/>
    <cellStyle name="常规 3" xfId="2"/>
    <cellStyle name="常规 4" xfId="6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3</xdr:row>
          <xdr:rowOff>0</xdr:rowOff>
        </xdr:from>
        <xdr:to>
          <xdr:col>4</xdr:col>
          <xdr:colOff>0</xdr:colOff>
          <xdr:row>5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599" name="Text Box 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0" name="Text Box 1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1" name="Text Box 2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2" name="Text Box 2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3" name="Text Box 2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4" name="Text Box 3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5" name="Text Box 3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6" name="Text Box 3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7" name="Text Box 3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8" name="Text Box 3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09" name="Text Box 3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0" name="Text Box 3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1" name="Text Box 3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2" name="Text Box 3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3" name="Text Box 3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4" name="Text Box 4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5" name="Text Box 4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6" name="Text Box 4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7" name="Text Box 4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8" name="Text Box 4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19" name="Text Box 4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0" name="Text Box 4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1" name="Text Box 4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2" name="Text Box 4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3" name="Text Box 4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4" name="Text Box 5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5" name="Text Box 5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6" name="Text Box 5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7" name="Text Box 5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8" name="Text Box 5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29" name="Text Box 5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0" name="Text Box 5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1" name="Text Box 5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2" name="Text Box 5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3" name="Text Box 5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4" name="Text Box 6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5" name="Text Box 6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6" name="Text Box 6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7" name="Text Box 6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8" name="Text Box 6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39" name="Text Box 6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0" name="Text Box 6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1" name="Text Box 6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2" name="Text Box 6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3" name="Text Box 6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4" name="Text Box 7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5" name="Text Box 7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6" name="Text Box 7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7" name="Text Box 12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8" name="Text Box 12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49" name="Text Box 12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50" name="Text Box 12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51" name="Text Box 12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52" name="Text Box 12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53" name="Text Box 13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54" name="Text Box 13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55" name="Text Box 13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56" name="Text Box 13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57" name="Text Box 14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58" name="Text Box 14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59" name="Text Box 145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60" name="Text Box 146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61" name="Text Box 14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62" name="Text Box 15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63" name="Text Box 152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64" name="Text Box 15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65" name="Text Box 15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66" name="Text Box 15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67" name="Text Box 15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68" name="Text Box 16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69" name="Text Box 16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70" name="Text Box 16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671" name="Text Box 16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672" name="Text Box 17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673" name="Text Box 17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674" name="Text Box 17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675" name="Text Box 17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676" name="Text Box 17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77" name="Text Box 18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78" name="Text Box 182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79" name="Text Box 18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80" name="Text Box 18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81" name="Text Box 188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82" name="Text Box 18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83" name="Text Box 19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84" name="Text Box 194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85" name="Text Box 195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86" name="Text Box 19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87" name="Text Box 200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688" name="Text Box 20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89" name="Text Box 20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0" name="Text Box 20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1" name="Text Box 20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2" name="Text Box 21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3" name="Text Box 21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4" name="Text Box 21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5" name="Text Box 21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6" name="Text Box 21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7" name="Text Box 22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8" name="Text Box 22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699" name="Text Box 22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700" name="Text Box 22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01" name="Text Box 23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02" name="Text Box 232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03" name="Text Box 23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04" name="Text Box 23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05" name="Text Box 238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06" name="Text Box 23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07" name="Text Box 24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08" name="Text Box 244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09" name="Text Box 245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0" name="Text Box 24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1" name="Text Box 250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2" name="Text Box 25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3" name="Text Box 255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4" name="Text Box 256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5" name="Text Box 25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6" name="Text Box 26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7" name="Text Box 262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8" name="Text Box 26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19" name="Text Box 26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0" name="Text Box 268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1" name="Text Box 26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2" name="Text Box 27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3" name="Text Box 274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4" name="Text Box 275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5" name="Text Box 27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6" name="Text Box 280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7" name="Text Box 28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8" name="Text Box 285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29" name="Text Box 286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30" name="Text Box 28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31" name="Text Box 29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32" name="Text Box 292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33" name="Text Box 29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34" name="Text Box 29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735" name="Text Box 298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36" name="Text Box 30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37" name="Text Box 304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38" name="Text Box 30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39" name="Text Box 30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0" name="Text Box 31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1" name="Text Box 31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2" name="Text Box 31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3" name="Text Box 32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4" name="Text Box 32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5" name="Text Box 32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6" name="Text Box 32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7" name="Text Box 32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8" name="Text Box 332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49" name="Text Box 33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50" name="Text Box 334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51" name="Text Box 338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52" name="Text Box 33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1753" name="Text Box 34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54" name="Text Box 346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55" name="Text Box 347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56" name="Text Box 348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57" name="Text Box 352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58" name="Text Box 353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59" name="Text Box 354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0" name="Text Box 358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1" name="Text Box 359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2" name="Text Box 360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3" name="Text Box 364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4" name="Text Box 365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5" name="Text Box 366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6" name="Text Box 370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7" name="Text Box 371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8" name="Text Box 372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69" name="Text Box 376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70" name="Text Box 377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71" name="Text Box 378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72" name="Text Box 382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73" name="Text Box 383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74" name="Text Box 384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75" name="Text Box 388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76" name="Text Box 389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777" name="Text Box 390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78" name="Text Box 39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79" name="Text Box 39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0" name="Text Box 39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1" name="Text Box 40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2" name="Text Box 40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3" name="Text Box 40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4" name="Text Box 40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5" name="Text Box 41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6" name="Text Box 41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7" name="Text Box 41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8" name="Text Box 41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89" name="Text Box 41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0" name="Text Box 42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1" name="Text Box 42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2" name="Text Box 42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3" name="Text Box 42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4" name="Text Box 42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5" name="Text Box 42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6" name="Text Box 43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7" name="Text Box 43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8" name="Text Box 43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799" name="Text Box 43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800" name="Text Box 44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1801" name="Text Box 44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02" name="Text Box 44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03" name="Text Box 44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04" name="Text Box 44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05" name="Text Box 45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06" name="Text Box 45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07" name="Text Box 45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08" name="Text Box 45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09" name="Text Box 46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0" name="Text Box 46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1" name="Text Box 46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2" name="Text Box 46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3" name="Text Box 46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4" name="Text Box 47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5" name="Text Box 47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6" name="Text Box 47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7" name="Text Box 47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8" name="Text Box 47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19" name="Text Box 47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20" name="Text Box 48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21" name="Text Box 48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22" name="Text Box 48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23" name="Text Box 48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24" name="Text Box 49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1825" name="Text Box 49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26" name="Text Box 497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27" name="Text Box 498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28" name="Text Box 499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29" name="Text Box 503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0" name="Text Box 504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1" name="Text Box 505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2" name="Text Box 509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3" name="Text Box 510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4" name="Text Box 511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5" name="Text Box 515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6" name="Text Box 516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7" name="Text Box 517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8" name="Text Box 521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39" name="Text Box 522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0" name="Text Box 523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1" name="Text Box 527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2" name="Text Box 528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3" name="Text Box 529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4" name="Text Box 533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5" name="Text Box 534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6" name="Text Box 535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7" name="Text Box 539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8" name="Text Box 540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480732</xdr:colOff>
      <xdr:row>115</xdr:row>
      <xdr:rowOff>76200</xdr:rowOff>
    </xdr:from>
    <xdr:to>
      <xdr:col>10</xdr:col>
      <xdr:colOff>480732</xdr:colOff>
      <xdr:row>118</xdr:row>
      <xdr:rowOff>0</xdr:rowOff>
    </xdr:to>
    <xdr:sp macro="" textlink="">
      <xdr:nvSpPr>
        <xdr:cNvPr id="1849" name="Text Box 541"/>
        <xdr:cNvSpPr txBox="1">
          <a:spLocks noChangeArrowheads="1"/>
        </xdr:cNvSpPr>
      </xdr:nvSpPr>
      <xdr:spPr bwMode="auto">
        <a:xfrm>
          <a:off x="590998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0" name="Text Box 54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1" name="Text Box 548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2" name="Text Box 54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3" name="Text Box 55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4" name="Text Box 554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5" name="Text Box 555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6" name="Text Box 55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7" name="Text Box 560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8" name="Text Box 56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59" name="Text Box 565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0" name="Text Box 566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1" name="Text Box 56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2" name="Text Box 57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3" name="Text Box 572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4" name="Text Box 57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5" name="Text Box 577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6" name="Text Box 578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7" name="Text Box 57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8" name="Text Box 583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69" name="Text Box 584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70" name="Text Box 585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71" name="Text Box 589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72" name="Text Box 590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475690</xdr:colOff>
      <xdr:row>115</xdr:row>
      <xdr:rowOff>76200</xdr:rowOff>
    </xdr:from>
    <xdr:to>
      <xdr:col>10</xdr:col>
      <xdr:colOff>475690</xdr:colOff>
      <xdr:row>118</xdr:row>
      <xdr:rowOff>0</xdr:rowOff>
    </xdr:to>
    <xdr:sp macro="" textlink="">
      <xdr:nvSpPr>
        <xdr:cNvPr id="1873" name="Text Box 591"/>
        <xdr:cNvSpPr txBox="1">
          <a:spLocks noChangeArrowheads="1"/>
        </xdr:cNvSpPr>
      </xdr:nvSpPr>
      <xdr:spPr bwMode="auto">
        <a:xfrm>
          <a:off x="590494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74" name="Text Box 59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75" name="Text Box 59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76" name="Text Box 60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77" name="Text Box 60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78" name="Text Box 60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79" name="Text Box 60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0" name="Text Box 61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1" name="Text Box 61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2" name="Text Box 61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3" name="Text Box 61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4" name="Text Box 61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5" name="Text Box 61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6" name="Text Box 62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7" name="Text Box 62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8" name="Text Box 62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89" name="Text Box 62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90" name="Text Box 62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91" name="Text Box 63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92" name="Text Box 63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93" name="Text Box 63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94" name="Text Box 63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95" name="Text Box 64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96" name="Text Box 64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1681</xdr:colOff>
      <xdr:row>115</xdr:row>
      <xdr:rowOff>76200</xdr:rowOff>
    </xdr:from>
    <xdr:to>
      <xdr:col>11</xdr:col>
      <xdr:colOff>1681</xdr:colOff>
      <xdr:row>118</xdr:row>
      <xdr:rowOff>0</xdr:rowOff>
    </xdr:to>
    <xdr:sp macro="" textlink="">
      <xdr:nvSpPr>
        <xdr:cNvPr id="1897" name="Text Box 64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898" name="Text Box 65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899" name="Text Box 65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0" name="Text Box 65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1" name="Text Box 66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2" name="Text Box 66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3" name="Text Box 66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4" name="Text Box 66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5" name="Text Box 66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6" name="Text Box 66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7" name="Text Box 67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8" name="Text Box 67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09" name="Text Box 67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0" name="Text Box 67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1" name="Text Box 68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2" name="Text Box 68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3" name="Text Box 68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4" name="Text Box 68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5" name="Text Box 68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6" name="Text Box 69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7" name="Text Box 69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8" name="Text Box 69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19" name="Text Box 69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20" name="Text Box 69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21" name="Text Box 69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22" name="Text Box 703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23" name="Text Box 704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24" name="Text Box 705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25" name="Text Box 709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26" name="Text Box 710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27" name="Text Box 711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28" name="Text Box 715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29" name="Text Box 716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0" name="Text Box 717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1" name="Text Box 721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2" name="Text Box 722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3" name="Text Box 723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4" name="Text Box 727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5" name="Text Box 728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6" name="Text Box 729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7" name="Text Box 733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8" name="Text Box 734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39" name="Text Box 735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40" name="Text Box 739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41" name="Text Box 740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42" name="Text Box 741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43" name="Text Box 745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44" name="Text Box 746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1945" name="Text Box 747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46" name="Text Box 75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47" name="Text Box 75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48" name="Text Box 75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49" name="Text Box 75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0" name="Text Box 75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1" name="Text Box 75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2" name="Text Box 76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3" name="Text Box 76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4" name="Text Box 76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5" name="Text Box 76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6" name="Text Box 77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7" name="Text Box 77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8" name="Text Box 77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59" name="Text Box 77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0" name="Text Box 77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1" name="Text Box 78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2" name="Text Box 78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3" name="Text Box 78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4" name="Text Box 78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5" name="Text Box 78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6" name="Text Box 78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7" name="Text Box 79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8" name="Text Box 79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0</xdr:colOff>
      <xdr:row>115</xdr:row>
      <xdr:rowOff>76200</xdr:rowOff>
    </xdr:from>
    <xdr:to>
      <xdr:col>11</xdr:col>
      <xdr:colOff>0</xdr:colOff>
      <xdr:row>118</xdr:row>
      <xdr:rowOff>0</xdr:rowOff>
    </xdr:to>
    <xdr:sp macro="" textlink="">
      <xdr:nvSpPr>
        <xdr:cNvPr id="1969" name="Text Box 79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0" name="Text Box 803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1" name="Text Box 804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2" name="Text Box 805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3" name="Text Box 809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4" name="Text Box 810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5" name="Text Box 811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6" name="Text Box 815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7" name="Text Box 816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8" name="Text Box 817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79" name="Text Box 821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0" name="Text Box 822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1" name="Text Box 823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2" name="Text Box 827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3" name="Text Box 828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4" name="Text Box 829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5" name="Text Box 833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6" name="Text Box 834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7" name="Text Box 835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8" name="Text Box 839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89" name="Text Box 840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0" name="Text Box 841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1" name="Text Box 845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2" name="Text Box 846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3" name="Text Box 847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4" name="Text Box 851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5" name="Text Box 852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6" name="Text Box 853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7" name="Text Box 857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8" name="Text Box 858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1999" name="Text Box 859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0" name="Text Box 863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1" name="Text Box 864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2" name="Text Box 865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3" name="Text Box 869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4" name="Text Box 870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5" name="Text Box 871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6" name="Text Box 875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7" name="Text Box 876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8" name="Text Box 877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09" name="Text Box 881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10" name="Text Box 882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11" name="Text Box 883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12" name="Text Box 887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13" name="Text Box 888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14" name="Text Box 889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15" name="Text Box 893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16" name="Text Box 894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478491</xdr:colOff>
      <xdr:row>115</xdr:row>
      <xdr:rowOff>76200</xdr:rowOff>
    </xdr:from>
    <xdr:to>
      <xdr:col>10</xdr:col>
      <xdr:colOff>478491</xdr:colOff>
      <xdr:row>118</xdr:row>
      <xdr:rowOff>0</xdr:rowOff>
    </xdr:to>
    <xdr:sp macro="" textlink="">
      <xdr:nvSpPr>
        <xdr:cNvPr id="2017" name="Text Box 895"/>
        <xdr:cNvSpPr txBox="1">
          <a:spLocks noChangeArrowheads="1"/>
        </xdr:cNvSpPr>
      </xdr:nvSpPr>
      <xdr:spPr bwMode="auto">
        <a:xfrm>
          <a:off x="590774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18" name="Text Box 90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19" name="Text Box 90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0" name="Text Box 90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1" name="Text Box 90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2" name="Text Box 90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3" name="Text Box 90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4" name="Text Box 91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5" name="Text Box 91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6" name="Text Box 91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7" name="Text Box 91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8" name="Text Box 92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29" name="Text Box 92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0" name="Text Box 92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1" name="Text Box 92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2" name="Text Box 92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3" name="Text Box 93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4" name="Text Box 93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5" name="Text Box 93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6" name="Text Box 93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7" name="Text Box 93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8" name="Text Box 93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39" name="Text Box 94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0" name="Text Box 94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1" name="Text Box 94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2" name="Text Box 94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3" name="Text Box 95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4" name="Text Box 95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5" name="Text Box 95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6" name="Text Box 95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7" name="Text Box 95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8" name="Text Box 96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49" name="Text Box 96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0" name="Text Box 96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1" name="Text Box 96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2" name="Text Box 96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3" name="Text Box 96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4" name="Text Box 97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5" name="Text Box 97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6" name="Text Box 97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7" name="Text Box 97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8" name="Text Box 98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59" name="Text Box 98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60" name="Text Box 98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61" name="Text Box 98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62" name="Text Box 98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63" name="Text Box 99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64" name="Text Box 99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065" name="Text Box 99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66" name="Text Box 100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67" name="Text Box 100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68" name="Text Box 100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69" name="Text Box 101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0" name="Text Box 101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1" name="Text Box 101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2" name="Text Box 101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3" name="Text Box 101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4" name="Text Box 101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5" name="Text Box 102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6" name="Text Box 102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7" name="Text Box 102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8" name="Text Box 102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79" name="Text Box 102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0" name="Text Box 103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1" name="Text Box 103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2" name="Text Box 103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3" name="Text Box 103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4" name="Text Box 104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5" name="Text Box 104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6" name="Text Box 104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7" name="Text Box 104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8" name="Text Box 104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89" name="Text Box 104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0" name="Text Box 105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1" name="Text Box 105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2" name="Text Box 105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3" name="Text Box 105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4" name="Text Box 105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5" name="Text Box 106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6" name="Text Box 106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7" name="Text Box 106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8" name="Text Box 106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099" name="Text Box 107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0" name="Text Box 107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1" name="Text Box 107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2" name="Text Box 107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3" name="Text Box 107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4" name="Text Box 107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5" name="Text Box 108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6" name="Text Box 108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7" name="Text Box 108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8" name="Text Box 108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09" name="Text Box 108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10" name="Text Box 109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11" name="Text Box 109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12" name="Text Box 109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2801</xdr:colOff>
      <xdr:row>115</xdr:row>
      <xdr:rowOff>76200</xdr:rowOff>
    </xdr:from>
    <xdr:to>
      <xdr:col>11</xdr:col>
      <xdr:colOff>2801</xdr:colOff>
      <xdr:row>118</xdr:row>
      <xdr:rowOff>0</xdr:rowOff>
    </xdr:to>
    <xdr:sp macro="" textlink="">
      <xdr:nvSpPr>
        <xdr:cNvPr id="2113" name="Text Box 109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14" name="Text Box 110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15" name="Text Box 110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16" name="Text Box 110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17" name="Text Box 110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18" name="Text Box 110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19" name="Text Box 111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0" name="Text Box 111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1" name="Text Box 111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2" name="Text Box 111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3" name="Text Box 112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4" name="Text Box 112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5" name="Text Box 112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6" name="Text Box 112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7" name="Text Box 112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8" name="Text Box 112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29" name="Text Box 113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0" name="Text Box 113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1" name="Text Box 113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2" name="Text Box 113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3" name="Text Box 113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4" name="Text Box 114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5" name="Text Box 114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6" name="Text Box 114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7" name="Text Box 114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8" name="Text Box 115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39" name="Text Box 115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0" name="Text Box 115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1" name="Text Box 115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2" name="Text Box 115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3" name="Text Box 115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4" name="Text Box 116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5" name="Text Box 116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6" name="Text Box 116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7" name="Text Box 116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8" name="Text Box 116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49" name="Text Box 117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0" name="Text Box 117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1" name="Text Box 117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2" name="Text Box 117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3" name="Text Box 118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4" name="Text Box 118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5" name="Text Box 118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6" name="Text Box 118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7" name="Text Box 118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8" name="Text Box 118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59" name="Text Box 119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0" name="Text Box 119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1" name="Text Box 119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2" name="Text Box 122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3" name="Text Box 122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4" name="Text Box 122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5" name="Text Box 122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6" name="Text Box 122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7" name="Text Box 122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8" name="Text Box 123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69" name="Text Box 123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0" name="Text Box 123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1" name="Text Box 123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2" name="Text Box 123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3" name="Text Box 123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4" name="Text Box 123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5" name="Text Box 123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6" name="Text Box 123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7" name="Text Box 123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8" name="Text Box 124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79" name="Text Box 124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0" name="Text Box 124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1" name="Text Box 124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2" name="Text Box 124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3" name="Text Box 124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4" name="Text Box 124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5" name="Text Box 124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6" name="Text Box 124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7" name="Text Box 124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8" name="Text Box 125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89" name="Text Box 125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0" name="Text Box 125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1" name="Text Box 125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2" name="Text Box 125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3" name="Text Box 125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4" name="Text Box 125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5" name="Text Box 125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6" name="Text Box 125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7" name="Text Box 125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8" name="Text Box 126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199" name="Text Box 126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0" name="Text Box 126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1" name="Text Box 126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2" name="Text Box 126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3" name="Text Box 126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4" name="Text Box 126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5" name="Text Box 126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6" name="Text Box 126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7" name="Text Box 126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8" name="Text Box 127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1120</xdr:colOff>
      <xdr:row>115</xdr:row>
      <xdr:rowOff>76200</xdr:rowOff>
    </xdr:from>
    <xdr:to>
      <xdr:col>11</xdr:col>
      <xdr:colOff>1120</xdr:colOff>
      <xdr:row>118</xdr:row>
      <xdr:rowOff>0</xdr:rowOff>
    </xdr:to>
    <xdr:sp macro="" textlink="">
      <xdr:nvSpPr>
        <xdr:cNvPr id="2209" name="Text Box 127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0" name="Text Box 1273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1" name="Text Box 1274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2" name="Text Box 1275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3" name="Text Box 1276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4" name="Text Box 1277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5" name="Text Box 1278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6" name="Text Box 1279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7" name="Text Box 1280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8" name="Text Box 1281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19" name="Text Box 1282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0" name="Text Box 1283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1" name="Text Box 1284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2" name="Text Box 1285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3" name="Text Box 1286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4" name="Text Box 1287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5" name="Text Box 1288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6" name="Text Box 1289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7" name="Text Box 1290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8" name="Text Box 1291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29" name="Text Box 1292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30" name="Text Box 1293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31" name="Text Box 1294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32" name="Text Box 1295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480172</xdr:colOff>
      <xdr:row>115</xdr:row>
      <xdr:rowOff>76200</xdr:rowOff>
    </xdr:from>
    <xdr:to>
      <xdr:col>10</xdr:col>
      <xdr:colOff>480172</xdr:colOff>
      <xdr:row>118</xdr:row>
      <xdr:rowOff>0</xdr:rowOff>
    </xdr:to>
    <xdr:sp macro="" textlink="">
      <xdr:nvSpPr>
        <xdr:cNvPr id="2233" name="Text Box 1296"/>
        <xdr:cNvSpPr txBox="1">
          <a:spLocks noChangeArrowheads="1"/>
        </xdr:cNvSpPr>
      </xdr:nvSpPr>
      <xdr:spPr bwMode="auto">
        <a:xfrm>
          <a:off x="590942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34" name="Text Box 132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35" name="Text Box 132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36" name="Text Box 132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37" name="Text Box 132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38" name="Text Box 132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39" name="Text Box 133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0" name="Text Box 133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1" name="Text Box 133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2" name="Text Box 133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3" name="Text Box 134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4" name="Text Box 134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5" name="Text Box 134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6" name="Text Box 134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7" name="Text Box 134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8" name="Text Box 134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49" name="Text Box 135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0" name="Text Box 135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1" name="Text Box 135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2" name="Text Box 135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3" name="Text Box 135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4" name="Text Box 136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5" name="Text Box 136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6" name="Text Box 136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7" name="Text Box 136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8" name="Text Box 137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59" name="Text Box 137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0" name="Text Box 137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1" name="Text Box 137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2" name="Text Box 137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3" name="Text Box 137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4" name="Text Box 138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5" name="Text Box 138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6" name="Text Box 138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7" name="Text Box 138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8" name="Text Box 138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69" name="Text Box 139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0" name="Text Box 139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1" name="Text Box 139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2" name="Text Box 139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3" name="Text Box 140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4" name="Text Box 140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5" name="Text Box 140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6" name="Text Box 140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7" name="Text Box 140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8" name="Text Box 140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79" name="Text Box 141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0" name="Text Box 141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1" name="Text Box 141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2" name="Text Box 144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3" name="Text Box 144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4" name="Text Box 144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5" name="Text Box 144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6" name="Text Box 144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7" name="Text Box 144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8" name="Text Box 144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89" name="Text Box 144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0" name="Text Box 145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1" name="Text Box 145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2" name="Text Box 145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3" name="Text Box 145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4" name="Text Box 145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5" name="Text Box 145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6" name="Text Box 145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7" name="Text Box 145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8" name="Text Box 145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299" name="Text Box 145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0" name="Text Box 146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1" name="Text Box 146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2" name="Text Box 146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3" name="Text Box 146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4" name="Text Box 146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5" name="Text Box 146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6" name="Text Box 146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7" name="Text Box 146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8" name="Text Box 146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09" name="Text Box 146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0" name="Text Box 147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1" name="Text Box 147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2" name="Text Box 147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3" name="Text Box 147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4" name="Text Box 147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5" name="Text Box 147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6" name="Text Box 147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7" name="Text Box 147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8" name="Text Box 147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19" name="Text Box 147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0" name="Text Box 1480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1" name="Text Box 1481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2" name="Text Box 1482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3" name="Text Box 1483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4" name="Text Box 1484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5" name="Text Box 1485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6" name="Text Box 1486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7" name="Text Box 1487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8" name="Text Box 1488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481293</xdr:colOff>
      <xdr:row>115</xdr:row>
      <xdr:rowOff>76200</xdr:rowOff>
    </xdr:from>
    <xdr:to>
      <xdr:col>10</xdr:col>
      <xdr:colOff>481293</xdr:colOff>
      <xdr:row>118</xdr:row>
      <xdr:rowOff>0</xdr:rowOff>
    </xdr:to>
    <xdr:sp macro="" textlink="">
      <xdr:nvSpPr>
        <xdr:cNvPr id="2329" name="Text Box 1489"/>
        <xdr:cNvSpPr txBox="1">
          <a:spLocks noChangeArrowheads="1"/>
        </xdr:cNvSpPr>
      </xdr:nvSpPr>
      <xdr:spPr bwMode="auto">
        <a:xfrm>
          <a:off x="5910543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0" name="Text Box 149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1" name="Text Box 149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2" name="Text Box 149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3" name="Text Box 150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4" name="Text Box 150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5" name="Text Box 150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6" name="Text Box 150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7" name="Text Box 150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8" name="Text Box 150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39" name="Text Box 151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0" name="Text Box 151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1" name="Text Box 151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2" name="Text Box 151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3" name="Text Box 151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4" name="Text Box 152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5" name="Text Box 152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6" name="Text Box 152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7" name="Text Box 152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8" name="Text Box 153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49" name="Text Box 153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0" name="Text Box 153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1" name="Text Box 153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2" name="Text Box 153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3" name="Text Box 153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4" name="Text Box 154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5" name="Text Box 154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6" name="Text Box 154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7" name="Text Box 154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8" name="Text Box 154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59" name="Text Box 155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0" name="Text Box 155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1" name="Text Box 155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2" name="Text Box 155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3" name="Text Box 156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4" name="Text Box 156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5" name="Text Box 156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6" name="Text Box 156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7" name="Text Box 156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8" name="Text Box 156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69" name="Text Box 157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0" name="Text Box 157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1" name="Text Box 157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2" name="Text Box 157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3" name="Text Box 157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4" name="Text Box 158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5" name="Text Box 158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6" name="Text Box 158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7" name="Text Box 158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8" name="Text Box 161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79" name="Text Box 161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0" name="Text Box 161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1" name="Text Box 161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2" name="Text Box 161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3" name="Text Box 161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4" name="Text Box 162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5" name="Text Box 162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6" name="Text Box 162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7" name="Text Box 162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8" name="Text Box 162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89" name="Text Box 162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0" name="Text Box 162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1" name="Text Box 162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2" name="Text Box 162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3" name="Text Box 162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4" name="Text Box 163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5" name="Text Box 163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6" name="Text Box 163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7" name="Text Box 163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8" name="Text Box 163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399" name="Text Box 163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0" name="Text Box 163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1" name="Text Box 163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2" name="Text Box 163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3" name="Text Box 163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4" name="Text Box 164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5" name="Text Box 164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6" name="Text Box 164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7" name="Text Box 164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8" name="Text Box 164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09" name="Text Box 164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0" name="Text Box 164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1" name="Text Box 164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2" name="Text Box 164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3" name="Text Box 164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4" name="Text Box 165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5" name="Text Box 165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6" name="Text Box 1652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7" name="Text Box 1653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8" name="Text Box 1654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19" name="Text Box 1655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20" name="Text Box 1656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21" name="Text Box 1657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22" name="Text Box 1658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23" name="Text Box 1659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24" name="Text Box 1660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476810</xdr:colOff>
      <xdr:row>115</xdr:row>
      <xdr:rowOff>76200</xdr:rowOff>
    </xdr:from>
    <xdr:to>
      <xdr:col>10</xdr:col>
      <xdr:colOff>476810</xdr:colOff>
      <xdr:row>118</xdr:row>
      <xdr:rowOff>0</xdr:rowOff>
    </xdr:to>
    <xdr:sp macro="" textlink="">
      <xdr:nvSpPr>
        <xdr:cNvPr id="2425" name="Text Box 1661"/>
        <xdr:cNvSpPr txBox="1">
          <a:spLocks noChangeArrowheads="1"/>
        </xdr:cNvSpPr>
      </xdr:nvSpPr>
      <xdr:spPr bwMode="auto">
        <a:xfrm>
          <a:off x="590606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26" name="Text Box 166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27" name="Text Box 1665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28" name="Text Box 166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29" name="Text Box 167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0" name="Text Box 1671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1" name="Text Box 167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2" name="Text Box 167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3" name="Text Box 1677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4" name="Text Box 167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5" name="Text Box 168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6" name="Text Box 1683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7" name="Text Box 168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8" name="Text Box 168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39" name="Text Box 1689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0" name="Text Box 169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1" name="Text Box 169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2" name="Text Box 1695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3" name="Text Box 169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4" name="Text Box 170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5" name="Text Box 1701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6" name="Text Box 170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7" name="Text Box 170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8" name="Text Box 1707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49" name="Text Box 170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0" name="Text Box 171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1" name="Text Box 1713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2" name="Text Box 171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3" name="Text Box 171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4" name="Text Box 1719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5" name="Text Box 172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6" name="Text Box 172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7" name="Text Box 1725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8" name="Text Box 172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59" name="Text Box 173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0" name="Text Box 1731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1" name="Text Box 173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2" name="Text Box 173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3" name="Text Box 1737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4" name="Text Box 173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5" name="Text Box 174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6" name="Text Box 1743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7" name="Text Box 174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8" name="Text Box 174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69" name="Text Box 1749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0" name="Text Box 175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1" name="Text Box 175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2" name="Text Box 1755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3" name="Text Box 175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4" name="Text Box 178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5" name="Text Box 1785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6" name="Text Box 178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7" name="Text Box 1787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8" name="Text Box 178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79" name="Text Box 1789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0" name="Text Box 179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1" name="Text Box 1791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2" name="Text Box 179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3" name="Text Box 1793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4" name="Text Box 179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5" name="Text Box 1795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6" name="Text Box 179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7" name="Text Box 1797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8" name="Text Box 179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89" name="Text Box 1799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0" name="Text Box 180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1" name="Text Box 1801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2" name="Text Box 180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3" name="Text Box 1803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4" name="Text Box 180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5" name="Text Box 1805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6" name="Text Box 180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7" name="Text Box 1807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8" name="Text Box 180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499" name="Text Box 1809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0" name="Text Box 181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1" name="Text Box 1811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2" name="Text Box 181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3" name="Text Box 1813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4" name="Text Box 181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5" name="Text Box 1815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6" name="Text Box 181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7" name="Text Box 1817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8" name="Text Box 181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09" name="Text Box 1819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0" name="Text Box 182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1" name="Text Box 1821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2" name="Text Box 1822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3" name="Text Box 1823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4" name="Text Box 1824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5" name="Text Box 1825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6" name="Text Box 1826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7" name="Text Box 1827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8" name="Text Box 1828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19" name="Text Box 1829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20" name="Text Box 1830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479612</xdr:colOff>
      <xdr:row>115</xdr:row>
      <xdr:rowOff>76200</xdr:rowOff>
    </xdr:from>
    <xdr:to>
      <xdr:col>10</xdr:col>
      <xdr:colOff>479612</xdr:colOff>
      <xdr:row>118</xdr:row>
      <xdr:rowOff>0</xdr:rowOff>
    </xdr:to>
    <xdr:sp macro="" textlink="">
      <xdr:nvSpPr>
        <xdr:cNvPr id="2521" name="Text Box 1831"/>
        <xdr:cNvSpPr txBox="1">
          <a:spLocks noChangeArrowheads="1"/>
        </xdr:cNvSpPr>
      </xdr:nvSpPr>
      <xdr:spPr bwMode="auto">
        <a:xfrm>
          <a:off x="5908862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22" name="Text Box 183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23" name="Text Box 183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24" name="Text Box 183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25" name="Text Box 184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26" name="Text Box 1842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27" name="Text Box 184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28" name="Text Box 184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29" name="Text Box 1848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0" name="Text Box 184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1" name="Text Box 185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2" name="Text Box 1854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3" name="Text Box 185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4" name="Text Box 185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5" name="Text Box 186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6" name="Text Box 186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7" name="Text Box 186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8" name="Text Box 186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39" name="Text Box 186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0" name="Text Box 187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1" name="Text Box 1872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2" name="Text Box 187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3" name="Text Box 187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4" name="Text Box 1878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5" name="Text Box 187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6" name="Text Box 188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7" name="Text Box 1884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8" name="Text Box 188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49" name="Text Box 188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0" name="Text Box 189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1" name="Text Box 189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2" name="Text Box 189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3" name="Text Box 189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4" name="Text Box 189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5" name="Text Box 190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6" name="Text Box 1902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7" name="Text Box 190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8" name="Text Box 190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59" name="Text Box 1908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0" name="Text Box 190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1" name="Text Box 191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2" name="Text Box 1914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3" name="Text Box 191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4" name="Text Box 191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5" name="Text Box 192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6" name="Text Box 192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7" name="Text Box 192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8" name="Text Box 192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69" name="Text Box 192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0" name="Text Box 195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1" name="Text Box 195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2" name="Text Box 195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3" name="Text Box 1958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4" name="Text Box 195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5" name="Text Box 196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6" name="Text Box 196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7" name="Text Box 1962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8" name="Text Box 196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79" name="Text Box 1964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0" name="Text Box 196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1" name="Text Box 196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2" name="Text Box 196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3" name="Text Box 1968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4" name="Text Box 196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5" name="Text Box 197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6" name="Text Box 197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7" name="Text Box 1972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8" name="Text Box 197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89" name="Text Box 1974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0" name="Text Box 197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1" name="Text Box 197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2" name="Text Box 197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3" name="Text Box 1978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4" name="Text Box 197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5" name="Text Box 198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6" name="Text Box 198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7" name="Text Box 1982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8" name="Text Box 198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599" name="Text Box 1984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0" name="Text Box 198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1" name="Text Box 198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2" name="Text Box 198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3" name="Text Box 1988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4" name="Text Box 198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5" name="Text Box 199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6" name="Text Box 199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7" name="Text Box 1992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8" name="Text Box 1993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09" name="Text Box 1994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10" name="Text Box 1995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11" name="Text Box 1996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12" name="Text Box 1997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13" name="Text Box 1998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14" name="Text Box 1999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15" name="Text Box 2000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16" name="Text Box 2001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477931</xdr:colOff>
      <xdr:row>115</xdr:row>
      <xdr:rowOff>76200</xdr:rowOff>
    </xdr:from>
    <xdr:to>
      <xdr:col>10</xdr:col>
      <xdr:colOff>477931</xdr:colOff>
      <xdr:row>118</xdr:row>
      <xdr:rowOff>0</xdr:rowOff>
    </xdr:to>
    <xdr:sp macro="" textlink="">
      <xdr:nvSpPr>
        <xdr:cNvPr id="2617" name="Text Box 2002"/>
        <xdr:cNvSpPr txBox="1">
          <a:spLocks noChangeArrowheads="1"/>
        </xdr:cNvSpPr>
      </xdr:nvSpPr>
      <xdr:spPr bwMode="auto">
        <a:xfrm>
          <a:off x="5907181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18" name="Text Box 200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19" name="Text Box 200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0" name="Text Box 200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1" name="Text Box 201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2" name="Text Box 201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3" name="Text Box 201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4" name="Text Box 201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5" name="Text Box 202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6" name="Text Box 202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7" name="Text Box 202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8" name="Text Box 202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29" name="Text Box 202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0" name="Text Box 203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1" name="Text Box 203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2" name="Text Box 203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3" name="Text Box 203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4" name="Text Box 203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5" name="Text Box 203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6" name="Text Box 204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7" name="Text Box 204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8" name="Text Box 204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39" name="Text Box 204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0" name="Text Box 205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1" name="Text Box 205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2" name="Text Box 205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3" name="Text Box 205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4" name="Text Box 205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5" name="Text Box 206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6" name="Text Box 206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7" name="Text Box 206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8" name="Text Box 206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49" name="Text Box 206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0" name="Text Box 206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1" name="Text Box 207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2" name="Text Box 207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3" name="Text Box 207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4" name="Text Box 207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5" name="Text Box 208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6" name="Text Box 208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7" name="Text Box 208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8" name="Text Box 208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59" name="Text Box 208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0" name="Text Box 209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1" name="Text Box 209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2" name="Text Box 209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3" name="Text Box 209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4" name="Text Box 209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5" name="Text Box 209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6" name="Text Box 212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7" name="Text Box 212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8" name="Text Box 212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69" name="Text Box 213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0" name="Text Box 213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1" name="Text Box 213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2" name="Text Box 213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3" name="Text Box 213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4" name="Text Box 213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5" name="Text Box 213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6" name="Text Box 213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7" name="Text Box 213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8" name="Text Box 213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79" name="Text Box 214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0" name="Text Box 214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1" name="Text Box 214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2" name="Text Box 214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3" name="Text Box 214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4" name="Text Box 214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5" name="Text Box 214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6" name="Text Box 214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7" name="Text Box 214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8" name="Text Box 214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89" name="Text Box 215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0" name="Text Box 215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1" name="Text Box 215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2" name="Text Box 215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3" name="Text Box 215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4" name="Text Box 215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5" name="Text Box 215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6" name="Text Box 215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7" name="Text Box 215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8" name="Text Box 215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699" name="Text Box 216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0" name="Text Box 216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1" name="Text Box 216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2" name="Text Box 216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3" name="Text Box 216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4" name="Text Box 216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5" name="Text Box 216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6" name="Text Box 216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7" name="Text Box 216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8" name="Text Box 216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09" name="Text Box 217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0" name="Text Box 217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1" name="Text Box 217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2" name="Text Box 217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3" name="Text Box 217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4" name="Text Box 217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5" name="Text Box 218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6" name="Text Box 218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7" name="Text Box 218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8" name="Text Box 218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19" name="Text Box 218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0" name="Text Box 219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1" name="Text Box 219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2" name="Text Box 219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3" name="Text Box 219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4" name="Text Box 219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5" name="Text Box 219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6" name="Text Box 220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7" name="Text Box 220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8" name="Text Box 220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29" name="Text Box 220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0" name="Text Box 221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1" name="Text Box 221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2" name="Text Box 221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3" name="Text Box 221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4" name="Text Box 221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5" name="Text Box 222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6" name="Text Box 222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7" name="Text Box 222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8" name="Text Box 222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39" name="Text Box 222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0" name="Text Box 222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1" name="Text Box 223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2" name="Text Box 223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3" name="Text Box 223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4" name="Text Box 223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5" name="Text Box 224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6" name="Text Box 224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7" name="Text Box 224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8" name="Text Box 224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49" name="Text Box 224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0" name="Text Box 225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1" name="Text Box 225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2" name="Text Box 225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3" name="Text Box 225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4" name="Text Box 225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5" name="Text Box 225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6" name="Text Box 226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7" name="Text Box 226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8" name="Text Box 226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59" name="Text Box 226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0" name="Text Box 227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1" name="Text Box 227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2" name="Text Box 229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3" name="Text Box 230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4" name="Text Box 230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5" name="Text Box 230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6" name="Text Box 230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7" name="Text Box 230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8" name="Text Box 230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69" name="Text Box 230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0" name="Text Box 230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1" name="Text Box 230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2" name="Text Box 230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3" name="Text Box 231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4" name="Text Box 231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5" name="Text Box 231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6" name="Text Box 231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7" name="Text Box 231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8" name="Text Box 231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79" name="Text Box 231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0" name="Text Box 231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1" name="Text Box 231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2" name="Text Box 231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3" name="Text Box 232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4" name="Text Box 232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5" name="Text Box 232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6" name="Text Box 232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7" name="Text Box 232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8" name="Text Box 232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89" name="Text Box 232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0" name="Text Box 232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1" name="Text Box 232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2" name="Text Box 232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3" name="Text Box 233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4" name="Text Box 233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5" name="Text Box 233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6" name="Text Box 233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7" name="Text Box 233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8" name="Text Box 233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799" name="Text Box 233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0" name="Text Box 2337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1" name="Text Box 2338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2" name="Text Box 2339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3" name="Text Box 2340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4" name="Text Box 2341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5" name="Text Box 2342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6" name="Text Box 2343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7" name="Text Box 2344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8" name="Text Box 2345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10</xdr:col>
      <xdr:colOff>476250</xdr:colOff>
      <xdr:row>115</xdr:row>
      <xdr:rowOff>76200</xdr:rowOff>
    </xdr:from>
    <xdr:to>
      <xdr:col>10</xdr:col>
      <xdr:colOff>476250</xdr:colOff>
      <xdr:row>118</xdr:row>
      <xdr:rowOff>0</xdr:rowOff>
    </xdr:to>
    <xdr:sp macro="" textlink="">
      <xdr:nvSpPr>
        <xdr:cNvPr id="2809" name="Text Box 2346"/>
        <xdr:cNvSpPr txBox="1">
          <a:spLocks noChangeArrowheads="1"/>
        </xdr:cNvSpPr>
      </xdr:nvSpPr>
      <xdr:spPr bwMode="auto">
        <a:xfrm>
          <a:off x="5905500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0" name="Text Box 235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1" name="Text Box 235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2" name="Text Box 235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3" name="Text Box 235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4" name="Text Box 235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5" name="Text Box 235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6" name="Text Box 236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7" name="Text Box 236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8" name="Text Box 236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19" name="Text Box 236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0" name="Text Box 237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1" name="Text Box 237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2" name="Text Box 237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3" name="Text Box 237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4" name="Text Box 237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5" name="Text Box 238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6" name="Text Box 238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7" name="Text Box 238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8" name="Text Box 238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29" name="Text Box 238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0" name="Text Box 238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1" name="Text Box 239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2" name="Text Box 239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3" name="Text Box 239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4" name="Text Box 239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5" name="Text Box 240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6" name="Text Box 240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7" name="Text Box 240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8" name="Text Box 240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39" name="Text Box 240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0" name="Text Box 241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1" name="Text Box 241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2" name="Text Box 241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3" name="Text Box 241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4" name="Text Box 241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5" name="Text Box 241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6" name="Text Box 242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7" name="Text Box 242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8" name="Text Box 242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49" name="Text Box 242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0" name="Text Box 243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1" name="Text Box 243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2" name="Text Box 243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3" name="Text Box 243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4" name="Text Box 243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5" name="Text Box 244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6" name="Text Box 244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7" name="Text Box 244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8" name="Text Box 247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59" name="Text Box 247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0" name="Text Box 247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1" name="Text Box 247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2" name="Text Box 247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3" name="Text Box 247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4" name="Text Box 247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5" name="Text Box 247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6" name="Text Box 247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7" name="Text Box 248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8" name="Text Box 248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69" name="Text Box 248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0" name="Text Box 248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1" name="Text Box 248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2" name="Text Box 248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3" name="Text Box 248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4" name="Text Box 248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5" name="Text Box 248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6" name="Text Box 248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7" name="Text Box 249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8" name="Text Box 249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79" name="Text Box 249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0" name="Text Box 249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1" name="Text Box 249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2" name="Text Box 249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3" name="Text Box 249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4" name="Text Box 249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5" name="Text Box 249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6" name="Text Box 249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7" name="Text Box 250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8" name="Text Box 250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89" name="Text Box 250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0" name="Text Box 250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1" name="Text Box 250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2" name="Text Box 250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3" name="Text Box 250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4" name="Text Box 250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5" name="Text Box 250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6" name="Text Box 250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7" name="Text Box 251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8" name="Text Box 251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899" name="Text Box 251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900" name="Text Box 251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901" name="Text Box 251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902" name="Text Box 251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903" name="Text Box 251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904" name="Text Box 251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14</xdr:col>
      <xdr:colOff>4482</xdr:colOff>
      <xdr:row>115</xdr:row>
      <xdr:rowOff>76200</xdr:rowOff>
    </xdr:from>
    <xdr:to>
      <xdr:col>14</xdr:col>
      <xdr:colOff>4482</xdr:colOff>
      <xdr:row>118</xdr:row>
      <xdr:rowOff>0</xdr:rowOff>
    </xdr:to>
    <xdr:sp macro="" textlink="">
      <xdr:nvSpPr>
        <xdr:cNvPr id="2905" name="Text Box 251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06" name="Text Box 269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07" name="Text Box 269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08" name="Text Box 269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09" name="Text Box 270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0" name="Text Box 270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1" name="Text Box 270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2" name="Text Box 270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3" name="Text Box 270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4" name="Text Box 270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5" name="Text Box 271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6" name="Text Box 271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7" name="Text Box 271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8" name="Text Box 271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19" name="Text Box 272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0" name="Text Box 272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1" name="Text Box 272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2" name="Text Box 272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3" name="Text Box 272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4" name="Text Box 273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5" name="Text Box 273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6" name="Text Box 273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7" name="Text Box 273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8" name="Text Box 273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29" name="Text Box 273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0" name="Text Box 274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1" name="Text Box 274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2" name="Text Box 274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3" name="Text Box 274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4" name="Text Box 275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5" name="Text Box 275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6" name="Text Box 275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7" name="Text Box 275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8" name="Text Box 275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39" name="Text Box 276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0" name="Text Box 276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1" name="Text Box 276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2" name="Text Box 276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3" name="Text Box 276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4" name="Text Box 276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5" name="Text Box 277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6" name="Text Box 277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7" name="Text Box 277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8" name="Text Box 277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49" name="Text Box 278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0" name="Text Box 278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1" name="Text Box 278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2" name="Text Box 278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3" name="Text Box 278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4" name="Text Box 281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5" name="Text Box 281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6" name="Text Box 281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7" name="Text Box 281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8" name="Text Box 281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59" name="Text Box 282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0" name="Text Box 282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1" name="Text Box 282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2" name="Text Box 282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3" name="Text Box 282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4" name="Text Box 282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5" name="Text Box 282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6" name="Text Box 282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7" name="Text Box 282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8" name="Text Box 282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69" name="Text Box 283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0" name="Text Box 283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1" name="Text Box 283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2" name="Text Box 283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3" name="Text Box 283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4" name="Text Box 283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5" name="Text Box 283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6" name="Text Box 283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7" name="Text Box 283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8" name="Text Box 283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79" name="Text Box 284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0" name="Text Box 284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1" name="Text Box 284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2" name="Text Box 284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3" name="Text Box 284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4" name="Text Box 284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5" name="Text Box 284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6" name="Text Box 284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7" name="Text Box 284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8" name="Text Box 284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89" name="Text Box 285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0" name="Text Box 285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1" name="Text Box 285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2" name="Text Box 2853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3" name="Text Box 2854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4" name="Text Box 2855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5" name="Text Box 2856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6" name="Text Box 2857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7" name="Text Box 2858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8" name="Text Box 2859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2999" name="Text Box 2860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3000" name="Text Box 2861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11</xdr:col>
      <xdr:colOff>2241</xdr:colOff>
      <xdr:row>115</xdr:row>
      <xdr:rowOff>76200</xdr:rowOff>
    </xdr:from>
    <xdr:to>
      <xdr:col>11</xdr:col>
      <xdr:colOff>2241</xdr:colOff>
      <xdr:row>118</xdr:row>
      <xdr:rowOff>0</xdr:rowOff>
    </xdr:to>
    <xdr:sp macro="" textlink="">
      <xdr:nvSpPr>
        <xdr:cNvPr id="3001" name="Text Box 2862"/>
        <xdr:cNvSpPr txBox="1">
          <a:spLocks noChangeArrowheads="1"/>
        </xdr:cNvSpPr>
      </xdr:nvSpPr>
      <xdr:spPr bwMode="auto">
        <a:xfrm>
          <a:off x="5915025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02" name="Text Box 304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03" name="Text Box 3045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04" name="Text Box 304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05" name="Text Box 305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06" name="Text Box 3051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07" name="Text Box 305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08" name="Text Box 305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09" name="Text Box 3057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0" name="Text Box 305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1" name="Text Box 306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2" name="Text Box 3063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3" name="Text Box 306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4" name="Text Box 306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5" name="Text Box 3069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6" name="Text Box 307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7" name="Text Box 307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8" name="Text Box 3075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19" name="Text Box 307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0" name="Text Box 308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1" name="Text Box 3081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2" name="Text Box 308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3" name="Text Box 308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4" name="Text Box 3087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5" name="Text Box 308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6" name="Text Box 309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7" name="Text Box 3093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8" name="Text Box 309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29" name="Text Box 309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0" name="Text Box 3099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1" name="Text Box 310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2" name="Text Box 310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3" name="Text Box 3105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4" name="Text Box 310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5" name="Text Box 311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6" name="Text Box 3111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7" name="Text Box 311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8" name="Text Box 311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39" name="Text Box 3117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0" name="Text Box 311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1" name="Text Box 312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2" name="Text Box 3123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3" name="Text Box 312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4" name="Text Box 312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5" name="Text Box 3129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6" name="Text Box 313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7" name="Text Box 313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8" name="Text Box 3135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49" name="Text Box 313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0" name="Text Box 316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1" name="Text Box 3165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2" name="Text Box 316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3" name="Text Box 3167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4" name="Text Box 316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5" name="Text Box 3169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6" name="Text Box 317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7" name="Text Box 3171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8" name="Text Box 317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59" name="Text Box 3173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0" name="Text Box 317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1" name="Text Box 3175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2" name="Text Box 317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3" name="Text Box 3177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4" name="Text Box 317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5" name="Text Box 3179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6" name="Text Box 318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7" name="Text Box 3181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8" name="Text Box 318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69" name="Text Box 3183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0" name="Text Box 318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1" name="Text Box 3185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2" name="Text Box 318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3" name="Text Box 3187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4" name="Text Box 318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5" name="Text Box 3189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6" name="Text Box 319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7" name="Text Box 3191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8" name="Text Box 319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79" name="Text Box 3193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0" name="Text Box 319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1" name="Text Box 3195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2" name="Text Box 319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3" name="Text Box 3197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4" name="Text Box 319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5" name="Text Box 3199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6" name="Text Box 320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7" name="Text Box 3201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8" name="Text Box 3202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89" name="Text Box 3203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90" name="Text Box 3204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91" name="Text Box 3205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92" name="Text Box 3206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93" name="Text Box 3207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94" name="Text Box 3208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95" name="Text Box 3209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96" name="Text Box 3210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xdr:twoCellAnchor>
    <xdr:from>
      <xdr:col>18</xdr:col>
      <xdr:colOff>503704</xdr:colOff>
      <xdr:row>115</xdr:row>
      <xdr:rowOff>76200</xdr:rowOff>
    </xdr:from>
    <xdr:to>
      <xdr:col>18</xdr:col>
      <xdr:colOff>503704</xdr:colOff>
      <xdr:row>118</xdr:row>
      <xdr:rowOff>0</xdr:rowOff>
    </xdr:to>
    <xdr:sp macro="" textlink="">
      <xdr:nvSpPr>
        <xdr:cNvPr id="3097" name="Text Box 3211"/>
        <xdr:cNvSpPr txBox="1">
          <a:spLocks noChangeArrowheads="1"/>
        </xdr:cNvSpPr>
      </xdr:nvSpPr>
      <xdr:spPr bwMode="auto">
        <a:xfrm>
          <a:off x="8295154" y="3543300"/>
          <a:ext cx="0" cy="552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Tibia Index 左足UPR：ﾌｯﾄﾚｽﾄ幅拡大による左足の脱落防止により、改善見込み。</a:t>
          </a:r>
        </a:p>
        <a:p>
          <a:pPr algn="l" rtl="0">
            <a:defRPr sz="1000"/>
          </a:pPr>
          <a:r>
            <a:rPr lang="ja-JP" altLang="en-US" sz="16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(PF-E#2にて効果確認済み）</a:t>
          </a:r>
          <a:endParaRPr lang="ja-JP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0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51"/>
  <sheetViews>
    <sheetView tabSelected="1" workbookViewId="0">
      <selection sqref="A1:F2"/>
    </sheetView>
  </sheetViews>
  <sheetFormatPr defaultRowHeight="13.5"/>
  <cols>
    <col min="7" max="8" width="14.625" customWidth="1"/>
  </cols>
  <sheetData>
    <row r="1" spans="1:15" ht="13.5" customHeight="1">
      <c r="A1" s="295" t="s">
        <v>70</v>
      </c>
      <c r="B1" s="296"/>
      <c r="C1" s="296"/>
      <c r="D1" s="296"/>
      <c r="E1" s="296"/>
      <c r="F1" s="297"/>
      <c r="I1" s="283" t="s">
        <v>76</v>
      </c>
      <c r="J1" s="284"/>
      <c r="K1" s="284"/>
      <c r="L1" s="284"/>
      <c r="M1" s="284"/>
      <c r="N1" s="284"/>
      <c r="O1" s="285"/>
    </row>
    <row r="2" spans="1:15">
      <c r="A2" s="292"/>
      <c r="B2" s="293"/>
      <c r="C2" s="293"/>
      <c r="D2" s="293"/>
      <c r="E2" s="293"/>
      <c r="F2" s="294"/>
      <c r="I2" s="286"/>
      <c r="J2" s="287"/>
      <c r="K2" s="287"/>
      <c r="L2" s="287"/>
      <c r="M2" s="287"/>
      <c r="N2" s="287"/>
      <c r="O2" s="288"/>
    </row>
    <row r="3" spans="1:15">
      <c r="A3" s="292"/>
      <c r="B3" s="293"/>
      <c r="C3" s="293"/>
      <c r="D3" s="293"/>
      <c r="E3" s="293"/>
      <c r="F3" s="294"/>
      <c r="I3" s="286"/>
      <c r="J3" s="287"/>
      <c r="K3" s="287"/>
      <c r="L3" s="287"/>
      <c r="M3" s="287"/>
      <c r="N3" s="287"/>
      <c r="O3" s="288"/>
    </row>
    <row r="4" spans="1:15">
      <c r="A4" s="292"/>
      <c r="B4" s="293"/>
      <c r="C4" s="293"/>
      <c r="D4" s="293"/>
      <c r="E4" s="293"/>
      <c r="F4" s="294"/>
      <c r="I4" s="286"/>
      <c r="J4" s="287"/>
      <c r="K4" s="287"/>
      <c r="L4" s="287"/>
      <c r="M4" s="287"/>
      <c r="N4" s="287"/>
      <c r="O4" s="288"/>
    </row>
    <row r="5" spans="1:15">
      <c r="A5" s="292"/>
      <c r="B5" s="293"/>
      <c r="C5" s="293"/>
      <c r="D5" s="293"/>
      <c r="E5" s="293"/>
      <c r="F5" s="294"/>
      <c r="I5" s="286"/>
      <c r="J5" s="287"/>
      <c r="K5" s="287"/>
      <c r="L5" s="287"/>
      <c r="M5" s="287"/>
      <c r="N5" s="287"/>
      <c r="O5" s="288"/>
    </row>
    <row r="6" spans="1:15">
      <c r="A6" s="292"/>
      <c r="B6" s="293"/>
      <c r="C6" s="293"/>
      <c r="D6" s="293"/>
      <c r="E6" s="293"/>
      <c r="F6" s="294"/>
      <c r="I6" s="286"/>
      <c r="J6" s="287"/>
      <c r="K6" s="287"/>
      <c r="L6" s="287"/>
      <c r="M6" s="287"/>
      <c r="N6" s="287"/>
      <c r="O6" s="288"/>
    </row>
    <row r="7" spans="1:15">
      <c r="A7" s="292"/>
      <c r="B7" s="293"/>
      <c r="C7" s="293"/>
      <c r="D7" s="293"/>
      <c r="E7" s="293"/>
      <c r="F7" s="294"/>
      <c r="I7" s="286"/>
      <c r="J7" s="287"/>
      <c r="K7" s="287"/>
      <c r="L7" s="287"/>
      <c r="M7" s="287"/>
      <c r="N7" s="287"/>
      <c r="O7" s="288"/>
    </row>
    <row r="8" spans="1:15">
      <c r="A8" s="292"/>
      <c r="B8" s="293"/>
      <c r="C8" s="293"/>
      <c r="D8" s="293"/>
      <c r="E8" s="293"/>
      <c r="F8" s="294"/>
      <c r="I8" s="286"/>
      <c r="J8" s="287"/>
      <c r="K8" s="287"/>
      <c r="L8" s="287"/>
      <c r="M8" s="287"/>
      <c r="N8" s="287"/>
      <c r="O8" s="288"/>
    </row>
    <row r="9" spans="1:15">
      <c r="A9" s="292"/>
      <c r="B9" s="293"/>
      <c r="C9" s="293"/>
      <c r="D9" s="293"/>
      <c r="E9" s="293"/>
      <c r="F9" s="294"/>
      <c r="I9" s="286"/>
      <c r="J9" s="287"/>
      <c r="K9" s="287"/>
      <c r="L9" s="287"/>
      <c r="M9" s="287"/>
      <c r="N9" s="287"/>
      <c r="O9" s="288"/>
    </row>
    <row r="10" spans="1:15">
      <c r="A10" s="292"/>
      <c r="B10" s="293"/>
      <c r="C10" s="293"/>
      <c r="D10" s="293"/>
      <c r="E10" s="293"/>
      <c r="F10" s="294"/>
      <c r="I10" s="286"/>
      <c r="J10" s="287"/>
      <c r="K10" s="287"/>
      <c r="L10" s="287"/>
      <c r="M10" s="287"/>
      <c r="N10" s="287"/>
      <c r="O10" s="288"/>
    </row>
    <row r="11" spans="1:15">
      <c r="A11" s="292"/>
      <c r="B11" s="293"/>
      <c r="C11" s="293"/>
      <c r="D11" s="293"/>
      <c r="E11" s="293"/>
      <c r="F11" s="294"/>
      <c r="I11" s="286"/>
      <c r="J11" s="287"/>
      <c r="K11" s="287"/>
      <c r="L11" s="287"/>
      <c r="M11" s="287"/>
      <c r="N11" s="287"/>
      <c r="O11" s="288"/>
    </row>
    <row r="12" spans="1:15">
      <c r="A12" s="292"/>
      <c r="B12" s="293"/>
      <c r="C12" s="293"/>
      <c r="D12" s="293"/>
      <c r="E12" s="293"/>
      <c r="F12" s="294"/>
      <c r="I12" s="286"/>
      <c r="J12" s="287"/>
      <c r="K12" s="287"/>
      <c r="L12" s="287"/>
      <c r="M12" s="287"/>
      <c r="N12" s="287"/>
      <c r="O12" s="288"/>
    </row>
    <row r="13" spans="1:15">
      <c r="A13" s="292"/>
      <c r="B13" s="293"/>
      <c r="C13" s="293"/>
      <c r="D13" s="293"/>
      <c r="E13" s="293"/>
      <c r="F13" s="294"/>
      <c r="I13" s="286"/>
      <c r="J13" s="287"/>
      <c r="K13" s="287"/>
      <c r="L13" s="287"/>
      <c r="M13" s="287"/>
      <c r="N13" s="287"/>
      <c r="O13" s="288"/>
    </row>
    <row r="14" spans="1:15" ht="14.25" thickBot="1">
      <c r="A14" s="298" t="s">
        <v>71</v>
      </c>
      <c r="B14" s="299"/>
      <c r="C14" s="299"/>
      <c r="D14" s="299"/>
      <c r="E14" s="299"/>
      <c r="F14" s="300"/>
      <c r="I14" s="289"/>
      <c r="J14" s="290"/>
      <c r="K14" s="290"/>
      <c r="L14" s="290"/>
      <c r="M14" s="290"/>
      <c r="N14" s="290"/>
      <c r="O14" s="291"/>
    </row>
    <row r="91" spans="2:3">
      <c r="B91" t="s">
        <v>72</v>
      </c>
      <c r="C91">
        <v>591</v>
      </c>
    </row>
    <row r="92" spans="2:3">
      <c r="B92" t="s">
        <v>73</v>
      </c>
      <c r="C92">
        <v>1500</v>
      </c>
    </row>
    <row r="93" spans="2:3">
      <c r="B93" t="s">
        <v>74</v>
      </c>
      <c r="C93">
        <v>54</v>
      </c>
    </row>
    <row r="94" spans="2:3">
      <c r="B94" t="s">
        <v>75</v>
      </c>
      <c r="C94">
        <v>20</v>
      </c>
    </row>
    <row r="100" spans="2:21" ht="14.25" thickBot="1"/>
    <row r="101" spans="2:21" ht="16.5" thickBot="1">
      <c r="B101" s="255"/>
      <c r="C101" s="255"/>
      <c r="D101" s="255"/>
      <c r="E101" s="255"/>
      <c r="F101" s="255"/>
      <c r="G101" s="255"/>
      <c r="H101" s="255"/>
      <c r="I101" s="256"/>
      <c r="J101" s="317" t="s">
        <v>0</v>
      </c>
      <c r="K101" s="318"/>
      <c r="L101" s="262" t="s">
        <v>16</v>
      </c>
      <c r="M101" s="263"/>
      <c r="N101" s="263"/>
      <c r="O101" s="263"/>
      <c r="P101" s="264"/>
      <c r="Q101" s="262" t="s">
        <v>55</v>
      </c>
      <c r="R101" s="263"/>
      <c r="S101" s="263"/>
      <c r="T101" s="263"/>
      <c r="U101" s="264"/>
    </row>
    <row r="102" spans="2:21" ht="15.75">
      <c r="B102" s="255"/>
      <c r="C102" s="255"/>
      <c r="D102" s="255"/>
      <c r="E102" s="255"/>
      <c r="F102" s="255"/>
      <c r="G102" s="255"/>
      <c r="H102" s="255"/>
      <c r="I102" s="256"/>
      <c r="J102" s="270" t="s">
        <v>17</v>
      </c>
      <c r="K102" s="271"/>
      <c r="L102" s="235" t="s">
        <v>18</v>
      </c>
      <c r="M102" s="236"/>
      <c r="N102" s="237" t="s">
        <v>19</v>
      </c>
      <c r="O102" s="238"/>
      <c r="P102" s="265" t="s">
        <v>68</v>
      </c>
      <c r="Q102" s="235" t="s">
        <v>18</v>
      </c>
      <c r="R102" s="236"/>
      <c r="S102" s="237" t="s">
        <v>19</v>
      </c>
      <c r="T102" s="238"/>
      <c r="U102" s="265" t="s">
        <v>68</v>
      </c>
    </row>
    <row r="103" spans="2:21" ht="16.5" thickBot="1">
      <c r="B103" s="255"/>
      <c r="C103" s="255"/>
      <c r="D103" s="255"/>
      <c r="E103" s="255"/>
      <c r="F103" s="255"/>
      <c r="G103" s="255"/>
      <c r="H103" s="255"/>
      <c r="I103" s="256"/>
      <c r="J103" s="272"/>
      <c r="K103" s="273"/>
      <c r="L103" s="239" t="s">
        <v>20</v>
      </c>
      <c r="M103" s="170" t="s">
        <v>21</v>
      </c>
      <c r="N103" s="240" t="s">
        <v>20</v>
      </c>
      <c r="O103" s="170" t="s">
        <v>21</v>
      </c>
      <c r="P103" s="266"/>
      <c r="Q103" s="239" t="s">
        <v>20</v>
      </c>
      <c r="R103" s="170" t="s">
        <v>21</v>
      </c>
      <c r="S103" s="240" t="s">
        <v>20</v>
      </c>
      <c r="T103" s="170" t="s">
        <v>21</v>
      </c>
      <c r="U103" s="266"/>
    </row>
    <row r="104" spans="2:21" ht="16.5" thickBot="1">
      <c r="B104" s="255"/>
      <c r="C104" s="255"/>
      <c r="D104" s="255"/>
      <c r="E104" s="255"/>
      <c r="F104" s="255"/>
      <c r="G104" s="255"/>
      <c r="H104" s="256"/>
      <c r="I104" s="257" t="s">
        <v>69</v>
      </c>
      <c r="J104" s="241" t="s">
        <v>11</v>
      </c>
      <c r="K104" s="242" t="s">
        <v>10</v>
      </c>
      <c r="L104" s="243" t="s">
        <v>22</v>
      </c>
      <c r="M104" s="171"/>
      <c r="N104" s="244" t="s">
        <v>22</v>
      </c>
      <c r="O104" s="171"/>
      <c r="P104" s="267"/>
      <c r="Q104" s="243" t="s">
        <v>22</v>
      </c>
      <c r="R104" s="171"/>
      <c r="S104" s="244" t="s">
        <v>22</v>
      </c>
      <c r="T104" s="171"/>
      <c r="U104" s="267"/>
    </row>
    <row r="105" spans="2:21" ht="15.75">
      <c r="B105" s="1" t="s">
        <v>30</v>
      </c>
      <c r="C105" s="2" t="s">
        <v>31</v>
      </c>
      <c r="D105" s="279" t="s">
        <v>32</v>
      </c>
      <c r="E105" s="280"/>
      <c r="F105" s="172"/>
      <c r="G105" s="173" t="s">
        <v>33</v>
      </c>
      <c r="H105" s="174"/>
      <c r="I105" s="175">
        <v>5</v>
      </c>
      <c r="J105" s="3">
        <v>650</v>
      </c>
      <c r="K105" s="4">
        <v>1000</v>
      </c>
      <c r="L105" s="5">
        <f>IF(M105&lt;$J105,$I105,IF(M105&gt;$K105,0,$I105*($K105-M105)/($K105-$J105)))</f>
        <v>5</v>
      </c>
      <c r="M105" s="6"/>
      <c r="N105" s="7">
        <f>IF(O105&lt;$J105,$I105,IF(O105&gt;$K105,0,$I105*($K105-O105)/($K105-$J105)))</f>
        <v>5</v>
      </c>
      <c r="O105" s="6"/>
      <c r="P105" s="8"/>
      <c r="Q105" s="5">
        <f>IF(R105&lt;$J105,$I105,IF(R105&gt;$K105,0,$I105*($K105-R105)/($K105-$J105)))</f>
        <v>5</v>
      </c>
      <c r="R105" s="6"/>
      <c r="S105" s="7">
        <f>IF(T105&lt;$J105,$I105,IF(T105&gt;$K105,0,$I105*($K105-T105)/($K105-$J105)))</f>
        <v>5</v>
      </c>
      <c r="T105" s="6"/>
      <c r="U105" s="8"/>
    </row>
    <row r="106" spans="2:21" ht="15.75">
      <c r="B106" s="176"/>
      <c r="C106" s="177"/>
      <c r="D106" s="260"/>
      <c r="E106" s="261"/>
      <c r="F106" s="178"/>
      <c r="G106" s="179" t="s">
        <v>34</v>
      </c>
      <c r="H106" s="180"/>
      <c r="I106" s="181">
        <v>5</v>
      </c>
      <c r="J106" s="9">
        <v>72</v>
      </c>
      <c r="K106" s="10">
        <v>88</v>
      </c>
      <c r="L106" s="11">
        <f>IF(M106&lt;$J106,$I106,IF(M106&gt;$K106,0,$I106*($K106-M106)/($K106-$J106)))</f>
        <v>5</v>
      </c>
      <c r="M106" s="12"/>
      <c r="N106" s="13">
        <f>IF(O106&lt;$J106,$I106,IF(O106&gt;$K106,0,$I106*($K106-O106)/($K106-$J106)))</f>
        <v>5</v>
      </c>
      <c r="O106" s="12"/>
      <c r="P106" s="14"/>
      <c r="Q106" s="11">
        <f>IF(R106&lt;$J106,$I106,IF(R106&gt;$K106,0,$I106*($K106-R106)/($K106-$J106)))</f>
        <v>5</v>
      </c>
      <c r="R106" s="12"/>
      <c r="S106" s="13">
        <f>IF(T106&lt;$J106,$I106,IF(T106&gt;$K106,0,$I106*($K106-T106)/($K106-$J106)))</f>
        <v>5</v>
      </c>
      <c r="T106" s="12"/>
      <c r="U106" s="14"/>
    </row>
    <row r="107" spans="2:21" ht="16.5" thickBot="1">
      <c r="B107" s="176"/>
      <c r="C107" s="177"/>
      <c r="D107" s="281"/>
      <c r="E107" s="282"/>
      <c r="F107" s="183" t="s">
        <v>1</v>
      </c>
      <c r="G107" s="184" t="s">
        <v>58</v>
      </c>
      <c r="H107" s="185"/>
      <c r="I107" s="186">
        <v>-1</v>
      </c>
      <c r="J107" s="15">
        <v>72</v>
      </c>
      <c r="K107" s="16">
        <v>88</v>
      </c>
      <c r="L107" s="17">
        <f>IF(ABS(M107)&lt;$J107,0,IF(ABS(M107)&gt;$K107,#REF!,#REF!-#REF!*($K107-M107)/($K107-$J107)))</f>
        <v>0</v>
      </c>
      <c r="M107" s="18"/>
      <c r="N107" s="19"/>
      <c r="O107" s="20"/>
      <c r="P107" s="21"/>
      <c r="Q107" s="17">
        <f>IF(ABS(R107)&lt;$J107,0,IF(ABS(R107)&gt;$K107,#REF!,#REF!-#REF!*($K107-R107)/($K107-$J107)))</f>
        <v>0</v>
      </c>
      <c r="R107" s="18"/>
      <c r="S107" s="19"/>
      <c r="T107" s="20"/>
      <c r="U107" s="21"/>
    </row>
    <row r="108" spans="2:21" ht="16.5" thickBot="1">
      <c r="B108" s="176"/>
      <c r="C108" s="177"/>
      <c r="D108" s="274" t="s">
        <v>35</v>
      </c>
      <c r="E108" s="275"/>
      <c r="F108" s="275"/>
      <c r="G108" s="275"/>
      <c r="H108" s="276"/>
      <c r="I108" s="187">
        <v>5</v>
      </c>
      <c r="J108" s="22"/>
      <c r="K108" s="23"/>
      <c r="L108" s="24">
        <f>IF(0&gt;MIN(L105:L106)+L107,0,(MIN(L105:L106)+L107))</f>
        <v>5</v>
      </c>
      <c r="M108" s="25"/>
      <c r="N108" s="26">
        <f>IF(0&gt;MIN(N105:N106)+N107,0,(MIN(N105:N106)+N107))</f>
        <v>5</v>
      </c>
      <c r="O108" s="25"/>
      <c r="P108" s="27">
        <f>MIN(L108,N108)</f>
        <v>5</v>
      </c>
      <c r="Q108" s="24">
        <f>IF(0&gt;MIN(Q105:Q106)+Q107,0,(MIN(Q105:Q106)+Q107))</f>
        <v>5</v>
      </c>
      <c r="R108" s="25"/>
      <c r="S108" s="26">
        <f>IF(0&gt;MIN(S105:S106)+S107,0,(MIN(S105:S106)+S107))</f>
        <v>5</v>
      </c>
      <c r="T108" s="25"/>
      <c r="U108" s="27">
        <f>MIN(Q108,S108)</f>
        <v>5</v>
      </c>
    </row>
    <row r="109" spans="2:21" ht="15.75">
      <c r="B109" s="176"/>
      <c r="C109" s="177"/>
      <c r="D109" s="258" t="s">
        <v>36</v>
      </c>
      <c r="E109" s="259"/>
      <c r="F109" s="178"/>
      <c r="G109" s="188" t="s">
        <v>2</v>
      </c>
      <c r="H109" s="189"/>
      <c r="I109" s="190">
        <v>2</v>
      </c>
      <c r="J109" s="28">
        <v>1.9</v>
      </c>
      <c r="K109" s="29">
        <v>3.1</v>
      </c>
      <c r="L109" s="30">
        <f>IF(M109&lt;$J109,$I109,IF(M109&gt;$K109,0,$I109*($K109-M109)/($K109-$J109)))</f>
        <v>2</v>
      </c>
      <c r="M109" s="31"/>
      <c r="N109" s="32">
        <f>IF(O109&lt;$J109,$I109,IF(O109&gt;$K109,0,$I109*($K109-O109)/($K109-$J109)))</f>
        <v>2</v>
      </c>
      <c r="O109" s="31"/>
      <c r="P109" s="33"/>
      <c r="Q109" s="30">
        <f>IF(R109&lt;$J109,$I109,IF(R109&gt;$K109,0,$I109*($K109-R109)/($K109-$J109)))</f>
        <v>2</v>
      </c>
      <c r="R109" s="31"/>
      <c r="S109" s="32">
        <f>IF(T109&lt;$J109,$I109,IF(T109&gt;$K109,0,$I109*($K109-T109)/($K109-$J109)))</f>
        <v>2</v>
      </c>
      <c r="T109" s="31"/>
      <c r="U109" s="33"/>
    </row>
    <row r="110" spans="2:21" ht="15.75">
      <c r="B110" s="176"/>
      <c r="C110" s="177"/>
      <c r="D110" s="260"/>
      <c r="E110" s="261"/>
      <c r="F110" s="178"/>
      <c r="G110" s="179" t="s">
        <v>3</v>
      </c>
      <c r="H110" s="180"/>
      <c r="I110" s="181">
        <v>2</v>
      </c>
      <c r="J110" s="34">
        <v>2.7</v>
      </c>
      <c r="K110" s="35">
        <v>3.3</v>
      </c>
      <c r="L110" s="36">
        <f>IF(M110&lt;$J110,$I110,IF(M110&gt;$K110,0,$I110*($K110-M110)/($K110-$J110)))</f>
        <v>2</v>
      </c>
      <c r="M110" s="37"/>
      <c r="N110" s="13">
        <f>IF(O110&lt;$J110,$I110,IF(O110&gt;$K110,0,$I110*($K110-O110)/($K110-$J110)))</f>
        <v>2</v>
      </c>
      <c r="O110" s="37"/>
      <c r="P110" s="38"/>
      <c r="Q110" s="36">
        <f>IF(R110&lt;$J110,$I110,IF(R110&gt;$K110,0,$I110*($K110-R110)/($K110-$J110)))</f>
        <v>2</v>
      </c>
      <c r="R110" s="37"/>
      <c r="S110" s="13">
        <f>IF(T110&lt;$J110,$I110,IF(T110&gt;$K110,0,$I110*($K110-T110)/($K110-$J110)))</f>
        <v>2</v>
      </c>
      <c r="T110" s="37"/>
      <c r="U110" s="38"/>
    </row>
    <row r="111" spans="2:21" ht="16.5" thickBot="1">
      <c r="B111" s="176"/>
      <c r="C111" s="177"/>
      <c r="D111" s="281"/>
      <c r="E111" s="282"/>
      <c r="F111" s="191"/>
      <c r="G111" s="184" t="s">
        <v>4</v>
      </c>
      <c r="H111" s="185"/>
      <c r="I111" s="186">
        <v>2</v>
      </c>
      <c r="J111" s="39">
        <v>42</v>
      </c>
      <c r="K111" s="40">
        <v>57</v>
      </c>
      <c r="L111" s="41">
        <f>IF(M111&lt;$J111,$I111,IF(M111&gt;$K111,0,$I111*($K111-M111)/($K111-$J111)))</f>
        <v>2</v>
      </c>
      <c r="M111" s="42"/>
      <c r="N111" s="43">
        <f>IF(O111&lt;$J111,$I111,IF(O111&gt;$K111,0,$I111*($K111-O111)/($K111-$J111)))</f>
        <v>2</v>
      </c>
      <c r="O111" s="42"/>
      <c r="P111" s="44"/>
      <c r="Q111" s="41">
        <f>IF(R111&lt;$J111,$I111,IF(R111&gt;$K111,0,$I111*($K111-R111)/($K111-$J111)))</f>
        <v>2</v>
      </c>
      <c r="R111" s="42"/>
      <c r="S111" s="43">
        <f>IF(T111&lt;$J111,$I111,IF(T111&gt;$K111,0,$I111*($K111-T111)/($K111-$J111)))</f>
        <v>2</v>
      </c>
      <c r="T111" s="42"/>
      <c r="U111" s="44"/>
    </row>
    <row r="112" spans="2:21" ht="16.5" thickBot="1">
      <c r="B112" s="176"/>
      <c r="C112" s="177"/>
      <c r="D112" s="274" t="s">
        <v>37</v>
      </c>
      <c r="E112" s="275"/>
      <c r="F112" s="275"/>
      <c r="G112" s="275"/>
      <c r="H112" s="276"/>
      <c r="I112" s="187">
        <v>2</v>
      </c>
      <c r="J112" s="22"/>
      <c r="K112" s="23"/>
      <c r="L112" s="24">
        <f>MIN(L109:L111)</f>
        <v>2</v>
      </c>
      <c r="M112" s="25"/>
      <c r="N112" s="26">
        <f>MIN(N109:N111)</f>
        <v>2</v>
      </c>
      <c r="O112" s="25"/>
      <c r="P112" s="27">
        <f>MIN(L112,N112)</f>
        <v>2</v>
      </c>
      <c r="Q112" s="24">
        <f>MIN(Q109:Q111)</f>
        <v>2</v>
      </c>
      <c r="R112" s="25"/>
      <c r="S112" s="26">
        <f>MIN(S109:S111)</f>
        <v>2</v>
      </c>
      <c r="T112" s="25"/>
      <c r="U112" s="27">
        <f>MIN(Q112,S112)</f>
        <v>2</v>
      </c>
    </row>
    <row r="113" spans="2:21" ht="15.75">
      <c r="B113" s="176"/>
      <c r="C113" s="177"/>
      <c r="D113" s="258" t="s">
        <v>38</v>
      </c>
      <c r="E113" s="259"/>
      <c r="F113" s="178"/>
      <c r="G113" s="188" t="s">
        <v>39</v>
      </c>
      <c r="H113" s="189"/>
      <c r="I113" s="190">
        <v>5</v>
      </c>
      <c r="J113" s="45">
        <v>22</v>
      </c>
      <c r="K113" s="46">
        <v>50</v>
      </c>
      <c r="L113" s="30">
        <f>IF(M113&lt;$J113,$I113,IF(M113&gt;$K113,0,$I113*($K113-M113)/($K113-$J113)))</f>
        <v>5</v>
      </c>
      <c r="M113" s="47"/>
      <c r="N113" s="32">
        <f>IF(O113&lt;$J113,$I113,IF(O113&gt;$K113,0,$I113*($K113-O113)/($K113-$J113)))</f>
        <v>5</v>
      </c>
      <c r="O113" s="47"/>
      <c r="P113" s="48"/>
      <c r="Q113" s="30">
        <f>IF(R113&lt;$J113,$I113,IF(R113&gt;$K113,0,$I113*($K113-R113)/($K113-$J113)))</f>
        <v>5</v>
      </c>
      <c r="R113" s="47"/>
      <c r="S113" s="32">
        <f>IF(T113&lt;$J113,$I113,IF(T113&gt;$K113,0,$I113*($K113-T113)/($K113-$J113)))</f>
        <v>5</v>
      </c>
      <c r="T113" s="47"/>
      <c r="U113" s="48"/>
    </row>
    <row r="114" spans="2:21" ht="16.5" thickBot="1">
      <c r="B114" s="176"/>
      <c r="C114" s="177"/>
      <c r="D114" s="260"/>
      <c r="E114" s="261"/>
      <c r="F114" s="192"/>
      <c r="G114" s="193" t="s">
        <v>56</v>
      </c>
      <c r="H114" s="180"/>
      <c r="I114" s="181">
        <v>5</v>
      </c>
      <c r="J114" s="9">
        <v>0.5</v>
      </c>
      <c r="K114" s="49">
        <v>1</v>
      </c>
      <c r="L114" s="36">
        <f>IF(M114&lt;$J114,$I114,IF(M114&gt;$K114,0,$I114*($K114-M114)/($K114-$J114)))</f>
        <v>5</v>
      </c>
      <c r="M114" s="61"/>
      <c r="N114" s="13">
        <f>IF(O114&lt;$J114,$I114,IF(O114&gt;$K114,0,$I114*($K114-O114)/($K114-$J114)))</f>
        <v>5</v>
      </c>
      <c r="O114" s="61"/>
      <c r="P114" s="50"/>
      <c r="Q114" s="36">
        <f>IF(R114&lt;$J114,$I114,IF(R114&gt;$K114,0,$I114*($K114-R114)/($K114-$J114)))</f>
        <v>5</v>
      </c>
      <c r="R114" s="18"/>
      <c r="S114" s="13">
        <f>IF(T114&lt;$J114,$I114,IF(T114&gt;$K114,0,$I114*($K114-T114)/($K114-$J114)))</f>
        <v>5</v>
      </c>
      <c r="T114" s="61"/>
      <c r="U114" s="50"/>
    </row>
    <row r="115" spans="2:21" ht="16.5" thickBot="1">
      <c r="B115" s="176"/>
      <c r="C115" s="177"/>
      <c r="D115" s="281"/>
      <c r="E115" s="282"/>
      <c r="F115" s="252" t="s">
        <v>1</v>
      </c>
      <c r="G115" s="184" t="s">
        <v>59</v>
      </c>
      <c r="H115" s="185"/>
      <c r="I115" s="186">
        <v>-1</v>
      </c>
      <c r="J115" s="15">
        <v>90</v>
      </c>
      <c r="K115" s="16">
        <v>110</v>
      </c>
      <c r="L115" s="17">
        <f>IF(ABS(M115)&lt;$J115,0,IF(ABS(M115)&gt;$K115,#REF!,#REF!-#REF!*($K115-M115)/($K115-$J115)))</f>
        <v>0</v>
      </c>
      <c r="M115" s="18"/>
      <c r="N115" s="19"/>
      <c r="O115" s="20"/>
      <c r="P115" s="21"/>
      <c r="Q115" s="17">
        <f>IF(ABS(R115)&lt;$J115,0,IF(ABS(R115)&gt;$K115,#REF!,#REF!-#REF!*($K115-R115)/($K115-$J115)))</f>
        <v>0</v>
      </c>
      <c r="R115" s="18"/>
      <c r="S115" s="19"/>
      <c r="T115" s="20"/>
      <c r="U115" s="21"/>
    </row>
    <row r="116" spans="2:21" ht="16.5" thickBot="1">
      <c r="B116" s="176"/>
      <c r="C116" s="177"/>
      <c r="D116" s="274" t="s">
        <v>40</v>
      </c>
      <c r="E116" s="275"/>
      <c r="F116" s="275"/>
      <c r="G116" s="275"/>
      <c r="H116" s="276"/>
      <c r="I116" s="187">
        <v>5</v>
      </c>
      <c r="J116" s="51"/>
      <c r="K116" s="52"/>
      <c r="L116" s="53">
        <f>IF(MIN(L113,L114)+SUM(L115)&lt;0,0,IF(MIN(L113,L114)+SUM(L115)&gt;0,MIN(L113,L114)+SUM(L115)))</f>
        <v>5</v>
      </c>
      <c r="M116" s="54"/>
      <c r="N116" s="55">
        <f>IF(MIN(N113,N114)+SUM(N115)&lt;0,0,IF(MIN(N113,N114)+SUM(N115)&gt;0,MIN(N113,N114)+SUM(N115)))</f>
        <v>5</v>
      </c>
      <c r="O116" s="54"/>
      <c r="P116" s="27">
        <v>4.6900000000000004</v>
      </c>
      <c r="Q116" s="53">
        <f>IF(MIN(Q113,Q114)+SUM(Q115)&lt;0,0,IF(MIN(Q113,Q114)+SUM(Q115)&gt;0,MIN(Q113,Q114)+SUM(Q115)))</f>
        <v>5</v>
      </c>
      <c r="R116" s="54"/>
      <c r="S116" s="55">
        <f>IF(MIN(S113,S114)+SUM(S115)&lt;0,0,IF(MIN(S113,S114)+SUM(S115)&gt;0,MIN(S113,S114)+SUM(S115)))</f>
        <v>5</v>
      </c>
      <c r="T116" s="54"/>
      <c r="U116" s="27">
        <f>MIN(Q116,S116)</f>
        <v>5</v>
      </c>
    </row>
    <row r="117" spans="2:21" ht="15.75">
      <c r="B117" s="176"/>
      <c r="C117" s="177"/>
      <c r="D117" s="258" t="s">
        <v>41</v>
      </c>
      <c r="E117" s="259"/>
      <c r="F117" s="194"/>
      <c r="G117" s="188" t="s">
        <v>5</v>
      </c>
      <c r="H117" s="189"/>
      <c r="I117" s="190">
        <v>2</v>
      </c>
      <c r="J117" s="28">
        <v>3.8</v>
      </c>
      <c r="K117" s="29">
        <v>9.07</v>
      </c>
      <c r="L117" s="56">
        <f>IF(M117&lt;$J117,$I117,IF(M117&gt;$K117,0,$I117*($K117-M117)/($K117-$J117)))</f>
        <v>2</v>
      </c>
      <c r="M117" s="57"/>
      <c r="N117" s="58">
        <f>IF(O117&lt;$J117,$I117,IF(O117&gt;$K117,0,$I117*($K117-O117)/($K117-$J117)))</f>
        <v>2</v>
      </c>
      <c r="O117" s="57"/>
      <c r="P117" s="59"/>
      <c r="Q117" s="56">
        <f>IF(R117&lt;$J117,$I117,IF(R117&gt;$K117,0,$I117*($K117-R117)/($K117-$J117)))</f>
        <v>2</v>
      </c>
      <c r="R117" s="57"/>
      <c r="S117" s="58">
        <f>IF(T117&lt;$J117,$I117,IF(T117&gt;$K117,0,$I117*($K117-T117)/($K117-$J117)))</f>
        <v>2</v>
      </c>
      <c r="T117" s="57"/>
      <c r="U117" s="59"/>
    </row>
    <row r="118" spans="2:21" ht="15.75">
      <c r="B118" s="176"/>
      <c r="C118" s="177"/>
      <c r="D118" s="260"/>
      <c r="E118" s="261"/>
      <c r="F118" s="178"/>
      <c r="G118" s="179" t="s">
        <v>6</v>
      </c>
      <c r="H118" s="180"/>
      <c r="I118" s="181">
        <v>2</v>
      </c>
      <c r="J118" s="9">
        <v>6</v>
      </c>
      <c r="K118" s="10">
        <v>15</v>
      </c>
      <c r="L118" s="60">
        <f>IF(M118&lt;$J118,$I118,IF(M118&gt;$K118,0,$I118*($K118-M118)/($K118-$J118)))</f>
        <v>2</v>
      </c>
      <c r="M118" s="61"/>
      <c r="N118" s="62">
        <f>IF(O118&lt;$J118,$I118,IF(O118&gt;$K118,0,$I118*($K118-O118)/($K118-$J118)))</f>
        <v>2</v>
      </c>
      <c r="O118" s="61"/>
      <c r="P118" s="50"/>
      <c r="Q118" s="60">
        <f>IF(R118&lt;$J118,$I118,IF(R118&gt;$K118,0,$I118*($K118-R118)/($K118-$J118)))</f>
        <v>2</v>
      </c>
      <c r="R118" s="61"/>
      <c r="S118" s="62">
        <f>IF(T118&lt;$J118,$I118,IF(T118&gt;$K118,0,$I118*($K118-T118)/($K118-$J118)))</f>
        <v>2</v>
      </c>
      <c r="T118" s="61"/>
      <c r="U118" s="50"/>
    </row>
    <row r="119" spans="2:21" ht="15.75">
      <c r="B119" s="176"/>
      <c r="C119" s="177"/>
      <c r="D119" s="260" t="s">
        <v>42</v>
      </c>
      <c r="E119" s="261"/>
      <c r="F119" s="178"/>
      <c r="G119" s="179" t="s">
        <v>7</v>
      </c>
      <c r="H119" s="180"/>
      <c r="I119" s="181">
        <v>2</v>
      </c>
      <c r="J119" s="34">
        <f>J117</f>
        <v>3.8</v>
      </c>
      <c r="K119" s="35">
        <f>K117</f>
        <v>9.07</v>
      </c>
      <c r="L119" s="11">
        <f>IF(M119&lt;$J119,$I119,IF(M119&gt;$K119,0,$I119*($K119-M119)/($K119-$J119)))</f>
        <v>2</v>
      </c>
      <c r="M119" s="63"/>
      <c r="N119" s="64">
        <f>IF(O119&lt;$J119,$I119,IF(O119&gt;$K119,0,$I119*($K119-O119)/($K119-$J119)))</f>
        <v>2</v>
      </c>
      <c r="O119" s="63"/>
      <c r="P119" s="65"/>
      <c r="Q119" s="11">
        <f>IF(R119&lt;$J119,$I119,IF(R119&gt;$K119,0,$I119*($K119-R119)/($K119-$J119)))</f>
        <v>2</v>
      </c>
      <c r="R119" s="63"/>
      <c r="S119" s="64">
        <f>IF(T119&lt;$J119,$I119,IF(T119&gt;$K119,0,$I119*($K119-T119)/($K119-$J119)))</f>
        <v>2</v>
      </c>
      <c r="T119" s="63"/>
      <c r="U119" s="65"/>
    </row>
    <row r="120" spans="2:21" ht="16.5" thickBot="1">
      <c r="B120" s="176"/>
      <c r="C120" s="177"/>
      <c r="D120" s="281"/>
      <c r="E120" s="282"/>
      <c r="F120" s="178"/>
      <c r="G120" s="184" t="s">
        <v>8</v>
      </c>
      <c r="H120" s="185"/>
      <c r="I120" s="186">
        <v>2</v>
      </c>
      <c r="J120" s="15">
        <f>J118</f>
        <v>6</v>
      </c>
      <c r="K120" s="16">
        <f>K118</f>
        <v>15</v>
      </c>
      <c r="L120" s="66">
        <f>IF(M120&lt;$J120,$I120,IF(M120&gt;$K120,0,$I120*($K120-M120)/($K120-$J120)))</f>
        <v>2</v>
      </c>
      <c r="M120" s="67"/>
      <c r="N120" s="68">
        <f>IF(O120&lt;$J120,$I120,IF(O120&gt;$K120,0,$I120*($K120-O120)/($K120-$J120)))</f>
        <v>2</v>
      </c>
      <c r="O120" s="67"/>
      <c r="P120" s="69"/>
      <c r="Q120" s="66">
        <f>IF(R120&lt;$J120,$I120,IF(R120&gt;$K120,0,$I120*($K120-R120)/($K120-$J120)))</f>
        <v>2</v>
      </c>
      <c r="R120" s="67"/>
      <c r="S120" s="68">
        <f>IF(T120&lt;$J120,$I120,IF(T120&gt;$K120,0,$I120*($K120-T120)/($K120-$J120)))</f>
        <v>2</v>
      </c>
      <c r="T120" s="67"/>
      <c r="U120" s="69"/>
    </row>
    <row r="121" spans="2:21" ht="16.5" thickBot="1">
      <c r="B121" s="176"/>
      <c r="C121" s="177"/>
      <c r="D121" s="274" t="s">
        <v>43</v>
      </c>
      <c r="E121" s="275"/>
      <c r="F121" s="275"/>
      <c r="G121" s="275"/>
      <c r="H121" s="276"/>
      <c r="I121" s="187">
        <v>2</v>
      </c>
      <c r="J121" s="51"/>
      <c r="K121" s="52"/>
      <c r="L121" s="53">
        <f>MIN((L119:L120),(L117:L118))</f>
        <v>2</v>
      </c>
      <c r="M121" s="70"/>
      <c r="N121" s="55">
        <f>MIN((N119:N120),(N117:N118))</f>
        <v>2</v>
      </c>
      <c r="O121" s="70"/>
      <c r="P121" s="27">
        <f>MIN(L121,N121)</f>
        <v>2</v>
      </c>
      <c r="Q121" s="53">
        <f>MIN((Q119:Q120),(Q117:Q118))</f>
        <v>2</v>
      </c>
      <c r="R121" s="70"/>
      <c r="S121" s="55">
        <f>MIN((S119:S120),(S117:S118))</f>
        <v>2</v>
      </c>
      <c r="T121" s="70"/>
      <c r="U121" s="27">
        <f>MIN(Q121,S121)</f>
        <v>2</v>
      </c>
    </row>
    <row r="122" spans="2:21" ht="15.75">
      <c r="B122" s="176"/>
      <c r="C122" s="177"/>
      <c r="D122" s="258" t="s">
        <v>41</v>
      </c>
      <c r="E122" s="259"/>
      <c r="F122" s="195"/>
      <c r="G122" s="196" t="s">
        <v>9</v>
      </c>
      <c r="H122" s="197" t="s">
        <v>10</v>
      </c>
      <c r="I122" s="198">
        <v>2</v>
      </c>
      <c r="J122" s="45">
        <v>2</v>
      </c>
      <c r="K122" s="46">
        <v>8</v>
      </c>
      <c r="L122" s="71">
        <f t="shared" ref="L122:L129" si="0">IF(M122&lt;$J122,$I122,IF(M122&gt;$K122,0,$I122*($K122-M122)/($K122-$J122)))</f>
        <v>2</v>
      </c>
      <c r="M122" s="72"/>
      <c r="N122" s="73">
        <f t="shared" ref="N122:N129" si="1">IF(O122&lt;$J122,$I122,IF(O122&gt;$K122,0,$I122*($K122-O122)/($K122-$J122)))</f>
        <v>2</v>
      </c>
      <c r="O122" s="72"/>
      <c r="P122" s="74"/>
      <c r="Q122" s="71">
        <f t="shared" ref="Q122:Q129" si="2">IF(R122&lt;$J122,$I122,IF(R122&gt;$K122,0,$I122*($K122-R122)/($K122-$J122)))</f>
        <v>2</v>
      </c>
      <c r="R122" s="72"/>
      <c r="S122" s="73">
        <f t="shared" ref="S122:S129" si="3">IF(T122&lt;$J122,$I122,IF(T122&gt;$K122,0,$I122*($K122-T122)/($K122-$J122)))</f>
        <v>2</v>
      </c>
      <c r="T122" s="72"/>
      <c r="U122" s="74"/>
    </row>
    <row r="123" spans="2:21" ht="16.5" thickBot="1">
      <c r="B123" s="176"/>
      <c r="C123" s="177"/>
      <c r="D123" s="260"/>
      <c r="E123" s="261"/>
      <c r="F123" s="199"/>
      <c r="G123" s="200"/>
      <c r="H123" s="201" t="s">
        <v>11</v>
      </c>
      <c r="I123" s="202">
        <v>2</v>
      </c>
      <c r="J123" s="75">
        <f>J122</f>
        <v>2</v>
      </c>
      <c r="K123" s="76">
        <v>8</v>
      </c>
      <c r="L123" s="77">
        <f t="shared" si="0"/>
        <v>2</v>
      </c>
      <c r="M123" s="78"/>
      <c r="N123" s="79">
        <f t="shared" si="1"/>
        <v>2</v>
      </c>
      <c r="O123" s="78"/>
      <c r="P123" s="80"/>
      <c r="Q123" s="77">
        <f t="shared" si="2"/>
        <v>2</v>
      </c>
      <c r="R123" s="78"/>
      <c r="S123" s="79">
        <f t="shared" si="3"/>
        <v>2</v>
      </c>
      <c r="T123" s="78"/>
      <c r="U123" s="80"/>
    </row>
    <row r="124" spans="2:21" ht="15.75">
      <c r="B124" s="176"/>
      <c r="C124" s="177"/>
      <c r="D124" s="260"/>
      <c r="E124" s="261"/>
      <c r="F124" s="182"/>
      <c r="G124" s="203" t="s">
        <v>44</v>
      </c>
      <c r="H124" s="204" t="s">
        <v>10</v>
      </c>
      <c r="I124" s="205">
        <v>2</v>
      </c>
      <c r="J124" s="81">
        <v>0.4</v>
      </c>
      <c r="K124" s="82">
        <v>1.3</v>
      </c>
      <c r="L124" s="83">
        <f t="shared" si="0"/>
        <v>2</v>
      </c>
      <c r="M124" s="72"/>
      <c r="N124" s="84">
        <f t="shared" si="1"/>
        <v>2</v>
      </c>
      <c r="O124" s="85"/>
      <c r="P124" s="86"/>
      <c r="Q124" s="83">
        <f t="shared" si="2"/>
        <v>2</v>
      </c>
      <c r="R124" s="72"/>
      <c r="S124" s="84">
        <f t="shared" si="3"/>
        <v>2</v>
      </c>
      <c r="T124" s="85"/>
      <c r="U124" s="86"/>
    </row>
    <row r="125" spans="2:21" ht="15.75">
      <c r="B125" s="176"/>
      <c r="C125" s="177"/>
      <c r="D125" s="303"/>
      <c r="E125" s="304"/>
      <c r="F125" s="192"/>
      <c r="G125" s="200"/>
      <c r="H125" s="206" t="s">
        <v>11</v>
      </c>
      <c r="I125" s="202">
        <v>2</v>
      </c>
      <c r="J125" s="75">
        <f>J124</f>
        <v>0.4</v>
      </c>
      <c r="K125" s="76">
        <f>K124</f>
        <v>1.3</v>
      </c>
      <c r="L125" s="77">
        <f t="shared" si="0"/>
        <v>2</v>
      </c>
      <c r="M125" s="78"/>
      <c r="N125" s="79">
        <f t="shared" si="1"/>
        <v>2</v>
      </c>
      <c r="O125" s="87"/>
      <c r="P125" s="88"/>
      <c r="Q125" s="77">
        <f t="shared" si="2"/>
        <v>2</v>
      </c>
      <c r="R125" s="78"/>
      <c r="S125" s="79">
        <f t="shared" si="3"/>
        <v>2</v>
      </c>
      <c r="T125" s="87"/>
      <c r="U125" s="88"/>
    </row>
    <row r="126" spans="2:21" ht="15.75">
      <c r="B126" s="176"/>
      <c r="C126" s="177"/>
      <c r="D126" s="305" t="s">
        <v>42</v>
      </c>
      <c r="E126" s="306"/>
      <c r="F126" s="199"/>
      <c r="G126" s="203" t="s">
        <v>9</v>
      </c>
      <c r="H126" s="204" t="s">
        <v>10</v>
      </c>
      <c r="I126" s="205">
        <v>2</v>
      </c>
      <c r="J126" s="81">
        <v>2</v>
      </c>
      <c r="K126" s="82">
        <v>8</v>
      </c>
      <c r="L126" s="89">
        <f t="shared" si="0"/>
        <v>2</v>
      </c>
      <c r="M126" s="90"/>
      <c r="N126" s="91">
        <f t="shared" si="1"/>
        <v>2</v>
      </c>
      <c r="O126" s="90"/>
      <c r="P126" s="92"/>
      <c r="Q126" s="89">
        <f t="shared" si="2"/>
        <v>2</v>
      </c>
      <c r="R126" s="90"/>
      <c r="S126" s="91">
        <f t="shared" si="3"/>
        <v>2</v>
      </c>
      <c r="T126" s="90"/>
      <c r="U126" s="92"/>
    </row>
    <row r="127" spans="2:21" ht="15.75">
      <c r="B127" s="176"/>
      <c r="C127" s="177"/>
      <c r="D127" s="260"/>
      <c r="E127" s="261"/>
      <c r="F127" s="199"/>
      <c r="G127" s="200"/>
      <c r="H127" s="201" t="s">
        <v>11</v>
      </c>
      <c r="I127" s="202">
        <v>2</v>
      </c>
      <c r="J127" s="75">
        <v>2</v>
      </c>
      <c r="K127" s="76">
        <v>8</v>
      </c>
      <c r="L127" s="93">
        <f t="shared" si="0"/>
        <v>2</v>
      </c>
      <c r="M127" s="78"/>
      <c r="N127" s="94">
        <f t="shared" si="1"/>
        <v>2</v>
      </c>
      <c r="O127" s="78"/>
      <c r="P127" s="80"/>
      <c r="Q127" s="93">
        <f t="shared" si="2"/>
        <v>2</v>
      </c>
      <c r="R127" s="78"/>
      <c r="S127" s="94">
        <f t="shared" si="3"/>
        <v>2</v>
      </c>
      <c r="T127" s="78"/>
      <c r="U127" s="80"/>
    </row>
    <row r="128" spans="2:21" ht="15.75">
      <c r="B128" s="176"/>
      <c r="C128" s="177"/>
      <c r="D128" s="260"/>
      <c r="E128" s="261"/>
      <c r="F128" s="182"/>
      <c r="G128" s="203" t="s">
        <v>44</v>
      </c>
      <c r="H128" s="204" t="s">
        <v>10</v>
      </c>
      <c r="I128" s="205">
        <v>2</v>
      </c>
      <c r="J128" s="81">
        <f>J124</f>
        <v>0.4</v>
      </c>
      <c r="K128" s="82">
        <f>K124</f>
        <v>1.3</v>
      </c>
      <c r="L128" s="89">
        <f t="shared" si="0"/>
        <v>2</v>
      </c>
      <c r="M128" s="85"/>
      <c r="N128" s="91">
        <f t="shared" si="1"/>
        <v>2</v>
      </c>
      <c r="O128" s="85"/>
      <c r="P128" s="86"/>
      <c r="Q128" s="89">
        <f t="shared" si="2"/>
        <v>2</v>
      </c>
      <c r="R128" s="85"/>
      <c r="S128" s="91">
        <f t="shared" si="3"/>
        <v>2</v>
      </c>
      <c r="T128" s="85"/>
      <c r="U128" s="86"/>
    </row>
    <row r="129" spans="2:21" ht="16.5" thickBot="1">
      <c r="B129" s="176"/>
      <c r="C129" s="177"/>
      <c r="D129" s="281"/>
      <c r="E129" s="282"/>
      <c r="F129" s="192"/>
      <c r="G129" s="200"/>
      <c r="H129" s="201" t="s">
        <v>11</v>
      </c>
      <c r="I129" s="207">
        <v>2</v>
      </c>
      <c r="J129" s="95">
        <f>J125</f>
        <v>0.4</v>
      </c>
      <c r="K129" s="76">
        <f>K125</f>
        <v>1.3</v>
      </c>
      <c r="L129" s="93">
        <f t="shared" si="0"/>
        <v>2</v>
      </c>
      <c r="M129" s="87"/>
      <c r="N129" s="94">
        <f t="shared" si="1"/>
        <v>2</v>
      </c>
      <c r="O129" s="87"/>
      <c r="P129" s="88"/>
      <c r="Q129" s="93">
        <f t="shared" si="2"/>
        <v>2</v>
      </c>
      <c r="R129" s="87"/>
      <c r="S129" s="94">
        <f t="shared" si="3"/>
        <v>2</v>
      </c>
      <c r="T129" s="87"/>
      <c r="U129" s="88"/>
    </row>
    <row r="130" spans="2:21" ht="16.5" thickBot="1">
      <c r="B130" s="176"/>
      <c r="C130" s="177"/>
      <c r="D130" s="274" t="s">
        <v>45</v>
      </c>
      <c r="E130" s="275"/>
      <c r="F130" s="275"/>
      <c r="G130" s="275"/>
      <c r="H130" s="276"/>
      <c r="I130" s="187">
        <v>2</v>
      </c>
      <c r="J130" s="96"/>
      <c r="K130" s="97"/>
      <c r="L130" s="98">
        <f>MIN((L122:L125),(L126:L129))</f>
        <v>2</v>
      </c>
      <c r="M130" s="99"/>
      <c r="N130" s="100">
        <f>MIN((N122:N125),(N126:N129))</f>
        <v>2</v>
      </c>
      <c r="O130" s="99"/>
      <c r="P130" s="101">
        <v>1.71</v>
      </c>
      <c r="Q130" s="98">
        <f>MIN((Q122:Q125),(Q126:Q129))</f>
        <v>2</v>
      </c>
      <c r="R130" s="99"/>
      <c r="S130" s="100">
        <f>MIN((S122:S125),(S126:S129))</f>
        <v>2</v>
      </c>
      <c r="T130" s="99"/>
      <c r="U130" s="101">
        <f>MIN(Q130,S130)</f>
        <v>2</v>
      </c>
    </row>
    <row r="131" spans="2:21" ht="15.75">
      <c r="B131" s="176"/>
      <c r="C131" s="177"/>
      <c r="D131" s="313" t="s">
        <v>60</v>
      </c>
      <c r="E131" s="314"/>
      <c r="F131" s="209" t="s">
        <v>46</v>
      </c>
      <c r="G131" s="210" t="s">
        <v>61</v>
      </c>
      <c r="H131" s="211"/>
      <c r="I131" s="212">
        <v>-1</v>
      </c>
      <c r="J131" s="102"/>
      <c r="K131" s="103"/>
      <c r="L131" s="56">
        <f>IF(M131="","",IF(M131="OK",0,$I131))</f>
        <v>0</v>
      </c>
      <c r="M131" s="104" t="s">
        <v>12</v>
      </c>
      <c r="N131" s="105"/>
      <c r="O131" s="106"/>
      <c r="P131" s="107"/>
      <c r="Q131" s="245">
        <f>IF(R131="","",IF(R131="OK",0,$I131))</f>
        <v>0</v>
      </c>
      <c r="R131" s="104" t="s">
        <v>12</v>
      </c>
      <c r="S131" s="105"/>
      <c r="T131" s="106"/>
      <c r="U131" s="107"/>
    </row>
    <row r="132" spans="2:21" ht="15.75">
      <c r="B132" s="176"/>
      <c r="C132" s="213"/>
      <c r="D132" s="307" t="s">
        <v>62</v>
      </c>
      <c r="E132" s="308"/>
      <c r="F132" s="214" t="s">
        <v>46</v>
      </c>
      <c r="G132" s="193" t="s">
        <v>26</v>
      </c>
      <c r="H132" s="215"/>
      <c r="I132" s="181">
        <v>-1</v>
      </c>
      <c r="J132" s="9"/>
      <c r="K132" s="10"/>
      <c r="L132" s="60">
        <f>IF(M132="","",IF(M132="OK",0,$I132))</f>
        <v>0</v>
      </c>
      <c r="M132" s="108" t="s">
        <v>12</v>
      </c>
      <c r="N132" s="109"/>
      <c r="O132" s="110"/>
      <c r="P132" s="50"/>
      <c r="Q132" s="60">
        <f>IF(R132="","",IF(R132="OK",0,$I132))</f>
        <v>0</v>
      </c>
      <c r="R132" s="108" t="s">
        <v>12</v>
      </c>
      <c r="S132" s="109"/>
      <c r="T132" s="110"/>
      <c r="U132" s="50"/>
    </row>
    <row r="133" spans="2:21" ht="15.75">
      <c r="B133" s="176"/>
      <c r="C133" s="213"/>
      <c r="D133" s="309"/>
      <c r="E133" s="310"/>
      <c r="F133" s="214" t="s">
        <v>46</v>
      </c>
      <c r="G133" s="193" t="s">
        <v>27</v>
      </c>
      <c r="H133" s="215"/>
      <c r="I133" s="181">
        <v>-1</v>
      </c>
      <c r="J133" s="9"/>
      <c r="K133" s="10"/>
      <c r="L133" s="60">
        <f>IF(M133="","",IF(M133="OK",0,$I133))</f>
        <v>0</v>
      </c>
      <c r="M133" s="108" t="s">
        <v>12</v>
      </c>
      <c r="N133" s="109"/>
      <c r="O133" s="110"/>
      <c r="P133" s="50"/>
      <c r="Q133" s="60">
        <f>IF(R133="","",IF(R133="OK",0,$I133))</f>
        <v>0</v>
      </c>
      <c r="R133" s="108" t="s">
        <v>12</v>
      </c>
      <c r="S133" s="109"/>
      <c r="T133" s="110"/>
      <c r="U133" s="50"/>
    </row>
    <row r="134" spans="2:21" ht="15.75">
      <c r="B134" s="176"/>
      <c r="C134" s="213"/>
      <c r="D134" s="309"/>
      <c r="E134" s="310"/>
      <c r="F134" s="214" t="s">
        <v>46</v>
      </c>
      <c r="G134" s="179" t="s">
        <v>63</v>
      </c>
      <c r="H134" s="215"/>
      <c r="I134" s="181">
        <v>-1</v>
      </c>
      <c r="J134" s="9"/>
      <c r="K134" s="10"/>
      <c r="L134" s="60">
        <f>IF(M134="","",IF(M134="OK",0,$I134))</f>
        <v>0</v>
      </c>
      <c r="M134" s="108" t="s">
        <v>12</v>
      </c>
      <c r="N134" s="109"/>
      <c r="O134" s="110"/>
      <c r="P134" s="50"/>
      <c r="Q134" s="60">
        <f>IF(R134="","",IF(R134="OK",0,$I134))</f>
        <v>0</v>
      </c>
      <c r="R134" s="108" t="s">
        <v>12</v>
      </c>
      <c r="S134" s="109"/>
      <c r="T134" s="110"/>
      <c r="U134" s="50"/>
    </row>
    <row r="135" spans="2:21" ht="16.5" thickBot="1">
      <c r="B135" s="176"/>
      <c r="C135" s="213"/>
      <c r="D135" s="311"/>
      <c r="E135" s="312"/>
      <c r="F135" s="216" t="s">
        <v>46</v>
      </c>
      <c r="G135" s="217" t="s">
        <v>28</v>
      </c>
      <c r="H135" s="218"/>
      <c r="I135" s="186">
        <v>-2</v>
      </c>
      <c r="J135" s="111"/>
      <c r="K135" s="16"/>
      <c r="L135" s="112">
        <f>IF(M135="","",IF(M135="OK",0,$I135))</f>
        <v>0</v>
      </c>
      <c r="M135" s="113" t="s">
        <v>12</v>
      </c>
      <c r="N135" s="114"/>
      <c r="O135" s="115"/>
      <c r="P135" s="116"/>
      <c r="Q135" s="112">
        <f>IF(R135="","",IF(R135="OK",0,$I135))</f>
        <v>0</v>
      </c>
      <c r="R135" s="113" t="s">
        <v>12</v>
      </c>
      <c r="S135" s="114"/>
      <c r="T135" s="115"/>
      <c r="U135" s="116"/>
    </row>
    <row r="136" spans="2:21" ht="16.5" thickBot="1">
      <c r="B136" s="176"/>
      <c r="C136" s="219"/>
      <c r="D136" s="117" t="s">
        <v>23</v>
      </c>
      <c r="E136" s="246"/>
      <c r="F136" s="246"/>
      <c r="G136" s="246"/>
      <c r="H136" s="247"/>
      <c r="I136" s="118"/>
      <c r="J136" s="118"/>
      <c r="K136" s="118"/>
      <c r="L136" s="119">
        <f>L108+L112+L116+L121+L130</f>
        <v>16</v>
      </c>
      <c r="M136" s="120"/>
      <c r="N136" s="121">
        <f>N108+N112+N116+N121+N130</f>
        <v>16</v>
      </c>
      <c r="O136" s="120"/>
      <c r="P136" s="122">
        <f>P108+P112+P116+P121+P130+IF(SUM(L131:L135)&lt;-4,-4,SUM(L131:L135))</f>
        <v>15.400000000000002</v>
      </c>
      <c r="Q136" s="119">
        <f>Q108+Q112+Q116+Q121+Q130</f>
        <v>16</v>
      </c>
      <c r="R136" s="120"/>
      <c r="S136" s="121">
        <f>S108+S112+S116+S121+S130</f>
        <v>16</v>
      </c>
      <c r="T136" s="120"/>
      <c r="U136" s="122">
        <f>U108+U112+U116+U121+U130+IF(SUM(Q131:Q135)&lt;-4,-4,SUM(Q131:Q135))</f>
        <v>16</v>
      </c>
    </row>
    <row r="137" spans="2:21" ht="16.5" thickBot="1">
      <c r="B137" s="176"/>
      <c r="C137" s="220" t="s">
        <v>47</v>
      </c>
      <c r="D137" s="315" t="s">
        <v>48</v>
      </c>
      <c r="E137" s="316"/>
      <c r="F137" s="208"/>
      <c r="G137" s="188" t="s">
        <v>64</v>
      </c>
      <c r="H137" s="221"/>
      <c r="I137" s="190">
        <v>0.8</v>
      </c>
      <c r="J137" s="45">
        <v>500</v>
      </c>
      <c r="K137" s="46">
        <v>700</v>
      </c>
      <c r="L137" s="56">
        <f>IF(M142="無",$I137,IF(M137&gt;$K137,0,IF(M137&lt;$J137,$I137,$I137*($K137-M137)/($K137-$J137))))</f>
        <v>0.8</v>
      </c>
      <c r="M137" s="253"/>
      <c r="N137" s="105"/>
      <c r="O137" s="106"/>
      <c r="P137" s="107"/>
      <c r="Q137" s="56">
        <f>IF(R142="無",$I137,IF(R137&gt;$K137,0,IF(R137&lt;$J137,$I137,$I137*($K137-R137)/($K137-$J137))))</f>
        <v>0.8</v>
      </c>
      <c r="R137" s="253"/>
      <c r="S137" s="105"/>
      <c r="T137" s="106"/>
      <c r="U137" s="107"/>
    </row>
    <row r="138" spans="2:21" ht="16.5" thickBot="1">
      <c r="B138" s="176"/>
      <c r="C138" s="213"/>
      <c r="D138" s="274" t="s">
        <v>35</v>
      </c>
      <c r="E138" s="275"/>
      <c r="F138" s="275"/>
      <c r="G138" s="275"/>
      <c r="H138" s="275"/>
      <c r="I138" s="123"/>
      <c r="J138" s="123"/>
      <c r="K138" s="123"/>
      <c r="L138" s="53">
        <f>IF(M142="有",L137,0.8)</f>
        <v>0.8</v>
      </c>
      <c r="M138" s="54"/>
      <c r="N138" s="124"/>
      <c r="O138" s="124"/>
      <c r="P138" s="125">
        <v>0.8</v>
      </c>
      <c r="Q138" s="53">
        <f>IF(R142="有",Q137,0.8)</f>
        <v>0.8</v>
      </c>
      <c r="R138" s="54"/>
      <c r="S138" s="124"/>
      <c r="T138" s="124"/>
      <c r="U138" s="125"/>
    </row>
    <row r="139" spans="2:21" ht="15.75">
      <c r="B139" s="176"/>
      <c r="C139" s="213"/>
      <c r="D139" s="222"/>
      <c r="E139" s="178"/>
      <c r="F139" s="178"/>
      <c r="G139" s="179" t="s">
        <v>13</v>
      </c>
      <c r="H139" s="215"/>
      <c r="I139" s="181">
        <v>0.2</v>
      </c>
      <c r="J139" s="9">
        <v>1.7</v>
      </c>
      <c r="K139" s="10">
        <v>2.62</v>
      </c>
      <c r="L139" s="60">
        <f>IF(M139&lt;$J139,$I139,IF(M139&gt;$K139,0,$I139*($K139-M139)/($K139-$J139)))</f>
        <v>0.2</v>
      </c>
      <c r="M139" s="61"/>
      <c r="N139" s="109"/>
      <c r="O139" s="126"/>
      <c r="P139" s="127"/>
      <c r="Q139" s="60">
        <f>IF(R139&lt;$J139,$I139,IF(R139&gt;$K139,0,$I139*($K139-R139)/($K139-$J139)))</f>
        <v>0.2</v>
      </c>
      <c r="R139" s="61"/>
      <c r="S139" s="109"/>
      <c r="T139" s="126"/>
      <c r="U139" s="127"/>
    </row>
    <row r="140" spans="2:21" ht="15.75">
      <c r="B140" s="176"/>
      <c r="C140" s="213"/>
      <c r="D140" s="222"/>
      <c r="E140" s="178"/>
      <c r="F140" s="178"/>
      <c r="G140" s="179" t="s">
        <v>14</v>
      </c>
      <c r="H140" s="215"/>
      <c r="I140" s="181">
        <v>0.2</v>
      </c>
      <c r="J140" s="9">
        <v>1.2</v>
      </c>
      <c r="K140" s="10">
        <v>1.95</v>
      </c>
      <c r="L140" s="60">
        <f>IF(M140&lt;$J140,$I140,IF(M140&gt;$K140,0,$I140*($K140-M140)/($K140-$J140)))</f>
        <v>0.2</v>
      </c>
      <c r="M140" s="108"/>
      <c r="N140" s="109"/>
      <c r="O140" s="126"/>
      <c r="P140" s="127"/>
      <c r="Q140" s="60">
        <f>IF(R140&lt;$J140,$I140,IF(R140&gt;$K140,0,$I140*($K140-R140)/($K140-$J140)))</f>
        <v>0.2</v>
      </c>
      <c r="R140" s="108"/>
      <c r="S140" s="109"/>
      <c r="T140" s="126"/>
      <c r="U140" s="127"/>
    </row>
    <row r="141" spans="2:21" ht="15.75">
      <c r="B141" s="176"/>
      <c r="C141" s="213"/>
      <c r="D141" s="222"/>
      <c r="E141" s="178"/>
      <c r="F141" s="178"/>
      <c r="G141" s="223" t="s">
        <v>15</v>
      </c>
      <c r="H141" s="224"/>
      <c r="I141" s="207">
        <v>0.2</v>
      </c>
      <c r="J141" s="128">
        <v>36</v>
      </c>
      <c r="K141" s="129">
        <v>49</v>
      </c>
      <c r="L141" s="130">
        <f>IF(M141&lt;$J141,$I141,IF(M141&gt;$K141,0,$I141*($K141-M141)/($K141-$J141)))</f>
        <v>0.2</v>
      </c>
      <c r="M141" s="131"/>
      <c r="N141" s="132"/>
      <c r="O141" s="133"/>
      <c r="P141" s="134"/>
      <c r="Q141" s="130">
        <f>IF(R141&lt;$J141,$I141,IF(R141&gt;$K141,0,$I141*($K141-R141)/($K141-$J141)))</f>
        <v>0.2</v>
      </c>
      <c r="R141" s="131"/>
      <c r="S141" s="132"/>
      <c r="T141" s="133"/>
      <c r="U141" s="134"/>
    </row>
    <row r="142" spans="2:21" ht="16.5" thickBot="1">
      <c r="B142" s="176"/>
      <c r="C142" s="213"/>
      <c r="D142" s="222"/>
      <c r="E142" s="178"/>
      <c r="F142" s="178"/>
      <c r="G142" s="184" t="s">
        <v>29</v>
      </c>
      <c r="H142" s="218"/>
      <c r="I142" s="186"/>
      <c r="J142" s="111"/>
      <c r="K142" s="16"/>
      <c r="L142" s="112"/>
      <c r="M142" s="225"/>
      <c r="N142" s="114"/>
      <c r="O142" s="115"/>
      <c r="P142" s="116"/>
      <c r="Q142" s="112"/>
      <c r="R142" s="225"/>
      <c r="S142" s="114"/>
      <c r="T142" s="115"/>
      <c r="U142" s="116"/>
    </row>
    <row r="143" spans="2:21" ht="16.5" thickBot="1">
      <c r="B143" s="176"/>
      <c r="C143" s="213"/>
      <c r="D143" s="274" t="s">
        <v>49</v>
      </c>
      <c r="E143" s="275"/>
      <c r="F143" s="275"/>
      <c r="G143" s="275"/>
      <c r="H143" s="275"/>
      <c r="I143" s="123"/>
      <c r="J143" s="123"/>
      <c r="K143" s="123"/>
      <c r="L143" s="53">
        <f>IF(M142="無",L139,MIN(L139:L141))</f>
        <v>0.2</v>
      </c>
      <c r="M143" s="54"/>
      <c r="N143" s="124"/>
      <c r="O143" s="124"/>
      <c r="P143" s="125">
        <v>0</v>
      </c>
      <c r="Q143" s="53">
        <f>IF(R142="無",Q139,MIN(Q139:Q141))</f>
        <v>0.2</v>
      </c>
      <c r="R143" s="54"/>
      <c r="S143" s="124"/>
      <c r="T143" s="124"/>
      <c r="U143" s="125"/>
    </row>
    <row r="144" spans="2:21" ht="16.5" thickBot="1">
      <c r="B144" s="176"/>
      <c r="C144" s="213"/>
      <c r="D144" s="315" t="s">
        <v>50</v>
      </c>
      <c r="E144" s="316"/>
      <c r="F144" s="178"/>
      <c r="G144" s="200" t="s">
        <v>51</v>
      </c>
      <c r="H144" s="204"/>
      <c r="I144" s="205">
        <v>1</v>
      </c>
      <c r="J144" s="135">
        <v>23</v>
      </c>
      <c r="K144" s="136">
        <v>48</v>
      </c>
      <c r="L144" s="137">
        <f>IF(M144&lt;$J144,$I144,IF(M144&gt;$K144,0,$I144*($K144-M144)/($K144-$J144)))</f>
        <v>1</v>
      </c>
      <c r="M144" s="254"/>
      <c r="N144" s="138"/>
      <c r="O144" s="139"/>
      <c r="P144" s="140"/>
      <c r="Q144" s="137">
        <f>IF(R144&lt;$J144,$I144,IF(R144&gt;$K144,0,$I144*($K144-R144)/($K144-$J144)))</f>
        <v>1</v>
      </c>
      <c r="R144" s="254"/>
      <c r="S144" s="138"/>
      <c r="T144" s="139"/>
      <c r="U144" s="140"/>
    </row>
    <row r="145" spans="2:21" ht="15.75">
      <c r="B145" s="176"/>
      <c r="C145" s="226"/>
      <c r="D145" s="277" t="s">
        <v>52</v>
      </c>
      <c r="E145" s="278"/>
      <c r="F145" s="278"/>
      <c r="G145" s="278"/>
      <c r="H145" s="278"/>
      <c r="I145" s="141"/>
      <c r="J145" s="141"/>
      <c r="K145" s="141"/>
      <c r="L145" s="142">
        <f>L144</f>
        <v>1</v>
      </c>
      <c r="M145" s="143"/>
      <c r="N145" s="144"/>
      <c r="O145" s="144"/>
      <c r="P145" s="145">
        <v>0.5</v>
      </c>
      <c r="Q145" s="142">
        <f>Q144</f>
        <v>1</v>
      </c>
      <c r="R145" s="143"/>
      <c r="S145" s="144"/>
      <c r="T145" s="144"/>
      <c r="U145" s="145"/>
    </row>
    <row r="146" spans="2:21" ht="16.5" thickBot="1">
      <c r="B146" s="176"/>
      <c r="C146" s="213" t="s">
        <v>53</v>
      </c>
      <c r="D146" s="301" t="s">
        <v>32</v>
      </c>
      <c r="E146" s="302"/>
      <c r="F146" s="227" t="s">
        <v>46</v>
      </c>
      <c r="G146" s="228" t="s">
        <v>57</v>
      </c>
      <c r="H146" s="229"/>
      <c r="I146" s="230">
        <v>-1</v>
      </c>
      <c r="J146" s="146">
        <v>88</v>
      </c>
      <c r="K146" s="147" t="s">
        <v>54</v>
      </c>
      <c r="L146" s="231"/>
      <c r="M146" s="232"/>
      <c r="N146" s="148" t="e">
        <f>IF(O146&gt;=#REF!,#REF!,0)</f>
        <v>#REF!</v>
      </c>
      <c r="O146" s="149"/>
      <c r="P146" s="150"/>
      <c r="Q146" s="231"/>
      <c r="R146" s="232"/>
      <c r="S146" s="13">
        <f>IF(T146&gt;$J146,$I146,0)</f>
        <v>0</v>
      </c>
      <c r="T146" s="149"/>
      <c r="U146" s="150"/>
    </row>
    <row r="147" spans="2:21" ht="16.5" thickBot="1">
      <c r="B147" s="176"/>
      <c r="C147" s="213"/>
      <c r="D147" s="274" t="s">
        <v>35</v>
      </c>
      <c r="E147" s="275"/>
      <c r="F147" s="275"/>
      <c r="G147" s="275"/>
      <c r="H147" s="275"/>
      <c r="I147" s="123"/>
      <c r="J147" s="123"/>
      <c r="K147" s="123"/>
      <c r="L147" s="151"/>
      <c r="M147" s="152"/>
      <c r="N147" s="55" t="e">
        <f>N146</f>
        <v>#REF!</v>
      </c>
      <c r="O147" s="153"/>
      <c r="P147" s="154">
        <v>0</v>
      </c>
      <c r="Q147" s="151"/>
      <c r="R147" s="152"/>
      <c r="S147" s="55">
        <f>S146</f>
        <v>0</v>
      </c>
      <c r="T147" s="153"/>
      <c r="U147" s="154"/>
    </row>
    <row r="148" spans="2:21" ht="16.5" thickBot="1">
      <c r="B148" s="176"/>
      <c r="C148" s="213"/>
      <c r="D148" s="268" t="s">
        <v>65</v>
      </c>
      <c r="E148" s="269"/>
      <c r="F148" s="209" t="s">
        <v>46</v>
      </c>
      <c r="G148" s="210" t="s">
        <v>61</v>
      </c>
      <c r="H148" s="211"/>
      <c r="I148" s="212">
        <v>-1</v>
      </c>
      <c r="J148" s="102"/>
      <c r="K148" s="103"/>
      <c r="L148" s="56">
        <f>IF(M148="","",IF(M148="OK",0,$I148))</f>
        <v>0</v>
      </c>
      <c r="M148" s="104" t="s">
        <v>12</v>
      </c>
      <c r="N148" s="105"/>
      <c r="O148" s="106"/>
      <c r="P148" s="107"/>
      <c r="Q148" s="245">
        <f>IF(R148="","",IF(R148="OK",0,$I148))</f>
        <v>0</v>
      </c>
      <c r="R148" s="104" t="s">
        <v>12</v>
      </c>
      <c r="S148" s="105"/>
      <c r="T148" s="106"/>
      <c r="U148" s="107"/>
    </row>
    <row r="149" spans="2:21" ht="16.5" thickBot="1">
      <c r="B149" s="176"/>
      <c r="C149" s="213"/>
      <c r="D149" s="268" t="s">
        <v>66</v>
      </c>
      <c r="E149" s="269"/>
      <c r="F149" s="209" t="s">
        <v>46</v>
      </c>
      <c r="G149" s="210" t="s">
        <v>67</v>
      </c>
      <c r="H149" s="211"/>
      <c r="I149" s="212">
        <v>-1</v>
      </c>
      <c r="J149" s="102"/>
      <c r="K149" s="103"/>
      <c r="L149" s="56">
        <f>IF(M149="","",IF(M149="OK",0,$I149))</f>
        <v>0</v>
      </c>
      <c r="M149" s="104" t="s">
        <v>12</v>
      </c>
      <c r="N149" s="105"/>
      <c r="O149" s="106"/>
      <c r="P149" s="107"/>
      <c r="Q149" s="231"/>
      <c r="R149" s="232"/>
      <c r="S149" s="245">
        <f>IF(T149="","",IF(T149="OK",0,$I149))</f>
        <v>0</v>
      </c>
      <c r="T149" s="104" t="s">
        <v>12</v>
      </c>
      <c r="U149" s="107"/>
    </row>
    <row r="150" spans="2:21" ht="16.5" thickBot="1">
      <c r="B150" s="176"/>
      <c r="C150" s="233"/>
      <c r="D150" s="155" t="s">
        <v>24</v>
      </c>
      <c r="E150" s="248"/>
      <c r="F150" s="248"/>
      <c r="G150" s="248"/>
      <c r="H150" s="249"/>
      <c r="I150" s="156"/>
      <c r="J150" s="156"/>
      <c r="K150" s="156"/>
      <c r="L150" s="157">
        <f>L138+L143+L145</f>
        <v>2</v>
      </c>
      <c r="M150" s="158"/>
      <c r="N150" s="159" t="e">
        <f>N147</f>
        <v>#REF!</v>
      </c>
      <c r="O150" s="158"/>
      <c r="P150" s="160">
        <f>P138+P143+P145+P147</f>
        <v>1.3</v>
      </c>
      <c r="Q150" s="157">
        <f>Q138+Q143+Q145+Q148</f>
        <v>2</v>
      </c>
      <c r="R150" s="158"/>
      <c r="S150" s="159">
        <f>S147+S149</f>
        <v>0</v>
      </c>
      <c r="T150" s="158"/>
      <c r="U150" s="160">
        <f>Q150+S150</f>
        <v>2</v>
      </c>
    </row>
    <row r="151" spans="2:21" ht="16.5" thickBot="1">
      <c r="B151" s="234"/>
      <c r="C151" s="161" t="s">
        <v>25</v>
      </c>
      <c r="D151" s="162"/>
      <c r="E151" s="250"/>
      <c r="F151" s="250"/>
      <c r="G151" s="250"/>
      <c r="H151" s="251"/>
      <c r="I151" s="163">
        <v>18</v>
      </c>
      <c r="J151" s="164"/>
      <c r="K151" s="164"/>
      <c r="L151" s="165"/>
      <c r="M151" s="166"/>
      <c r="N151" s="167"/>
      <c r="O151" s="168"/>
      <c r="P151" s="169">
        <f>P150+P136</f>
        <v>16.700000000000003</v>
      </c>
      <c r="Q151" s="165"/>
      <c r="R151" s="166"/>
      <c r="S151" s="167"/>
      <c r="T151" s="168"/>
      <c r="U151" s="169">
        <f>U150+U136</f>
        <v>18</v>
      </c>
    </row>
  </sheetData>
  <mergeCells count="33">
    <mergeCell ref="I1:O14"/>
    <mergeCell ref="A3:F13"/>
    <mergeCell ref="A1:F2"/>
    <mergeCell ref="A14:F14"/>
    <mergeCell ref="D146:E146"/>
    <mergeCell ref="D122:E125"/>
    <mergeCell ref="D126:E129"/>
    <mergeCell ref="D132:E135"/>
    <mergeCell ref="D131:E131"/>
    <mergeCell ref="D137:E137"/>
    <mergeCell ref="D144:E144"/>
    <mergeCell ref="D119:E120"/>
    <mergeCell ref="J101:K101"/>
    <mergeCell ref="L101:P101"/>
    <mergeCell ref="D109:E111"/>
    <mergeCell ref="D113:E115"/>
    <mergeCell ref="D149:E149"/>
    <mergeCell ref="J102:K103"/>
    <mergeCell ref="D108:H108"/>
    <mergeCell ref="D112:H112"/>
    <mergeCell ref="D116:H116"/>
    <mergeCell ref="D121:H121"/>
    <mergeCell ref="D130:H130"/>
    <mergeCell ref="D138:H138"/>
    <mergeCell ref="D143:H143"/>
    <mergeCell ref="D145:H145"/>
    <mergeCell ref="D147:H147"/>
    <mergeCell ref="D105:E107"/>
    <mergeCell ref="D117:E118"/>
    <mergeCell ref="Q101:U101"/>
    <mergeCell ref="P102:P104"/>
    <mergeCell ref="U102:U104"/>
    <mergeCell ref="D148:E148"/>
  </mergeCells>
  <phoneticPr fontId="4"/>
  <dataValidations count="2">
    <dataValidation type="list" allowBlank="1" showInputMessage="1" showErrorMessage="1" sqref="M131:M135 M148:M149 R148 R131:R135 T149">
      <formula1>#REF!</formula1>
    </dataValidation>
    <dataValidation type="list" showInputMessage="1" showErrorMessage="1" sqref="M142 R142">
      <formula1>#REF!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676275</xdr:colOff>
                <xdr:row>3</xdr:row>
                <xdr:rowOff>0</xdr:rowOff>
              </from>
              <to>
                <xdr:col>4</xdr:col>
                <xdr:colOff>0</xdr:colOff>
                <xdr:row>5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2</xdr:col>
                <xdr:colOff>9525</xdr:colOff>
                <xdr:row>9</xdr:row>
                <xdr:rowOff>0</xdr:rowOff>
              </from>
              <to>
                <xdr:col>4</xdr:col>
                <xdr:colOff>9525</xdr:colOff>
                <xdr:row>11</xdr:row>
                <xdr:rowOff>0</xdr:rowOff>
              </to>
            </anchor>
          </controlPr>
        </control>
      </mc:Choice>
      <mc:Fallback>
        <control shapeId="1027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整车碰撞实验数据自动化处理系统(for 50FLP)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2016-08-18T09:51:12Z</dcterms:modified>
</cp:coreProperties>
</file>